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Registre Securite SST" sheetId="4" state="visible" r:id="rId4"/>
    <sheet xmlns:r="http://schemas.openxmlformats.org/officeDocument/2006/relationships" name="3-Evaluations des Risques" sheetId="5" state="visible" r:id="rId5"/>
    <sheet xmlns:r="http://schemas.openxmlformats.org/officeDocument/2006/relationships" name="4-Plan Action Securite" sheetId="6" state="visible" r:id="rId6"/>
    <sheet xmlns:r="http://schemas.openxmlformats.org/officeDocument/2006/relationships" name="5-Accidents du Travail" sheetId="7" state="visible" r:id="rId7"/>
    <sheet xmlns:r="http://schemas.openxmlformats.org/officeDocument/2006/relationships" name="6-Maladies Prof." sheetId="8" state="visible" r:id="rId8"/>
    <sheet xmlns:r="http://schemas.openxmlformats.org/officeDocument/2006/relationships" name="7-Visites Medicales" sheetId="9" state="visible" r:id="rId9"/>
    <sheet xmlns:r="http://schemas.openxmlformats.org/officeDocument/2006/relationships" name="8-Fiche Poste Risques" sheetId="10" state="visible" r:id="rId10"/>
    <sheet xmlns:r="http://schemas.openxmlformats.org/officeDocument/2006/relationships" name="9-Gestion EPI" sheetId="11" state="visible" r:id="rId11"/>
    <sheet xmlns:r="http://schemas.openxmlformats.org/officeDocument/2006/relationships" name="10-Consignes Securite" sheetId="12" state="visible" r:id="rId12"/>
    <sheet xmlns:r="http://schemas.openxmlformats.org/officeDocument/2006/relationships" name="11-Audit Inspection Secur." sheetId="13" state="visible" r:id="rId13"/>
    <sheet xmlns:r="http://schemas.openxmlformats.org/officeDocument/2006/relationships" name="12-Suivi AT par Mois" sheetId="14" state="visible" r:id="rId14"/>
    <sheet xmlns:r="http://schemas.openxmlformats.org/officeDocument/2006/relationships" name="13-Indicateurs SST" sheetId="15" state="visible" r:id="rId15"/>
    <sheet xmlns:r="http://schemas.openxmlformats.org/officeDocument/2006/relationships" name="14-Plan Evacuation" sheetId="16" state="visible" r:id="rId16"/>
    <sheet xmlns:r="http://schemas.openxmlformats.org/officeDocument/2006/relationships" name="15-Produits Dangereux" sheetId="17" state="visible" r:id="rId17"/>
    <sheet xmlns:r="http://schemas.openxmlformats.org/officeDocument/2006/relationships" name="16-Registre Incendie" sheetId="18" state="visible" r:id="rId18"/>
    <sheet xmlns:r="http://schemas.openxmlformats.org/officeDocument/2006/relationships" name="17-Formation Securite" sheetId="19" state="visible" r:id="rId19"/>
    <sheet xmlns:r="http://schemas.openxmlformats.org/officeDocument/2006/relationships" name="18-Actions Correct. S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4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4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9" fontId="8" fillId="3" borderId="0" applyAlignment="1" pivotButton="0" quotePrefix="0" xfId="0">
      <alignment horizontal="right" vertical="center"/>
    </xf>
    <xf numFmtId="9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ill>
        <patternFill patternType="solid">
          <fgColor rgb="00FFFD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Accidents du Travail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Bord'!$B$20:$B$25</f>
            </numRef>
          </cat>
          <val>
            <numRef>
              <f>'1-Tableau de Bord'!$C$20:$C$25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Distribution des Risques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Bord'!$H$28:$H$33</f>
            </numRef>
          </cat>
          <val>
            <numRef>
              <f>'1-Tableau de Bord'!$I$28:$I$33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1"/>
    <row r="2"/>
    <row r="3"/>
    <row r="4">
      <c r="B4" s="32" t="inlineStr">
        <is>
          <t>Matricule</t>
        </is>
      </c>
      <c r="C4" s="32" t="inlineStr">
        <is>
          <t>Civilité</t>
        </is>
      </c>
      <c r="D4" s="32" t="inlineStr">
        <is>
          <t>Nom</t>
        </is>
      </c>
      <c r="E4" s="32" t="inlineStr">
        <is>
          <t>Prénom</t>
        </is>
      </c>
      <c r="F4" s="32" t="inlineStr">
        <is>
          <t>Département</t>
        </is>
      </c>
      <c r="G4" s="32" t="inlineStr">
        <is>
          <t>Poste</t>
        </is>
      </c>
      <c r="H4" s="32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9 — SANTE, SECURITE &amp; CONDITIONS DE TRAVAIL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Accidents travail</t>
        </is>
      </c>
      <c r="E5" s="3" t="inlineStr">
        <is>
          <t>Jours arret total</t>
        </is>
      </c>
      <c r="H5" s="3" t="inlineStr">
        <is>
          <t>Maladies prof.</t>
        </is>
      </c>
      <c r="K5" s="3" t="inlineStr">
        <is>
          <t>Visites medicales</t>
        </is>
      </c>
    </row>
    <row r="6">
      <c r="B6" s="4">
        <f>COUNTA('5-Accidents du Travail'!B5:B104)</f>
        <v/>
      </c>
      <c r="E6" s="4">
        <f>SUM('5-Accidents du Travail'!M5:M104)</f>
        <v/>
      </c>
      <c r="H6" s="4">
        <f>COUNTA('6-Maladies Prof.'!B5:B104)</f>
        <v/>
      </c>
      <c r="K6" s="4">
        <f>COUNTA('7-Visites Medicales'!B5:B104)</f>
        <v/>
      </c>
    </row>
    <row r="7"/>
    <row r="8"/>
    <row r="9">
      <c r="B9" s="3" t="inlineStr">
        <is>
          <t>Risques eleves</t>
        </is>
      </c>
      <c r="E9" s="3" t="inlineStr">
        <is>
          <t>Actions securite en cours</t>
        </is>
      </c>
      <c r="H9" s="3" t="inlineStr">
        <is>
          <t>EPI a remplacer</t>
        </is>
      </c>
      <c r="K9" s="3" t="inlineStr">
        <is>
          <t>Audits realises</t>
        </is>
      </c>
    </row>
    <row r="10">
      <c r="B10" s="4">
        <f>COUNTIF('3-Evaluations des Risques'!H5:H104,"Eleve")+COUNTIF('3-Evaluations des Risques'!H5:H104,"Tres eleve")+COUNTIF('3-Evaluations des Risques'!H5:H104,"Critique")</f>
        <v/>
      </c>
      <c r="E10" s="4">
        <f>COUNTIF('4-Plan Action Securite'!L5:L104,"En cours")</f>
        <v/>
      </c>
      <c r="H10" s="4">
        <f>COUNTIF('9-Gestion EPI'!L5:L104,"A remplacer")</f>
        <v/>
      </c>
      <c r="K10" s="4">
        <f>COUNTIF('11-Audit Inspection Secur.'!L5:L104,"Valide")</f>
        <v/>
      </c>
    </row>
    <row r="11"/>
    <row r="12"/>
    <row r="13">
      <c r="B13" s="3" t="inlineStr">
        <is>
          <t>Formations securite</t>
        </is>
      </c>
      <c r="E13" s="3" t="inlineStr">
        <is>
          <t>Cout AT (FCFA)</t>
        </is>
      </c>
      <c r="H13" s="3" t="inlineStr">
        <is>
          <t>Actions correct. SST</t>
        </is>
      </c>
      <c r="K13" s="3" t="inlineStr">
        <is>
          <t>Evenements incendie</t>
        </is>
      </c>
    </row>
    <row r="14">
      <c r="B14" s="4">
        <f>COUNTIF('17-Formation Securite'!B5:B104,"&lt;&gt;")</f>
        <v/>
      </c>
      <c r="E14" s="4">
        <f>SUM('5-Accidents du Travail'!M5:M104)*1500</f>
        <v/>
      </c>
      <c r="H14" s="4">
        <f>COUNTIF('18-Actions Correct. SST'!B5:B104,"&lt;&gt;")</f>
        <v/>
      </c>
      <c r="K14" s="4">
        <f>COUNTIF('16-Registre Incendie'!B5:B104,"&lt;&gt;")</f>
        <v/>
      </c>
    </row>
    <row r="15"/>
    <row r="16"/>
    <row r="17"/>
    <row r="18">
      <c r="B18" s="5" t="inlineStr">
        <is>
          <t>ACCIDENTS PAR MOIS &amp; RISQUES PAR TYPE</t>
        </is>
      </c>
    </row>
    <row r="19" ht="15" customHeight="1">
      <c r="B19" s="3" t="inlineStr">
        <is>
          <t>Mois</t>
        </is>
      </c>
      <c r="C19" s="3" t="inlineStr">
        <is>
          <t>Nb Accidents</t>
        </is>
      </c>
    </row>
    <row r="20" ht="15" customHeight="1">
      <c r="B20" s="6" t="inlineStr">
        <is>
          <t>Janv.</t>
        </is>
      </c>
      <c r="C20" s="7">
        <f>IFERROR(VLOOKUP("Janvier",'12-Suivi AT par Mois'!C5:E104,3,FALSE),0)</f>
        <v/>
      </c>
    </row>
    <row r="21" ht="15" customHeight="1">
      <c r="B21" s="6" t="inlineStr">
        <is>
          <t>Fevr.</t>
        </is>
      </c>
      <c r="C21" s="7">
        <f>IFERROR(VLOOKUP("Fevrier",'12-Suivi AT par Mois'!C5:E104,3,FALSE),0)</f>
        <v/>
      </c>
    </row>
    <row r="22" ht="15" customHeight="1">
      <c r="B22" s="6" t="inlineStr">
        <is>
          <t>Mars</t>
        </is>
      </c>
      <c r="C22" s="7">
        <f>IFERROR(VLOOKUP("Mars",'12-Suivi AT par Mois'!C5:E104,3,FALSE),0)</f>
        <v/>
      </c>
    </row>
    <row r="23" ht="15" customHeight="1">
      <c r="B23" s="6" t="inlineStr">
        <is>
          <t>Avr.</t>
        </is>
      </c>
      <c r="C23" s="7">
        <f>IFERROR(VLOOKUP("Avril",'12-Suivi AT par Mois'!C5:E104,3,FALSE),0)</f>
        <v/>
      </c>
    </row>
    <row r="24" ht="15" customHeight="1">
      <c r="B24" s="6" t="inlineStr">
        <is>
          <t>Mai</t>
        </is>
      </c>
      <c r="C24" s="7">
        <f>IFERROR(VLOOKUP("Mai",'12-Suivi AT par Mois'!C5:E104,3,FALSE),0)</f>
        <v/>
      </c>
    </row>
    <row r="25" ht="15" customHeight="1">
      <c r="B25" s="6" t="inlineStr">
        <is>
          <t>Juin</t>
        </is>
      </c>
      <c r="C25" s="7">
        <f>IFERROR(VLOOKUP("Juin",'12-Suivi AT par Mois'!C5:E104,3,FALSE),0)</f>
        <v/>
      </c>
    </row>
    <row r="26" ht="15" customHeight="1"/>
    <row r="27" ht="15" customHeight="1">
      <c r="H27" s="3" t="inlineStr">
        <is>
          <t>Type de Risque</t>
        </is>
      </c>
      <c r="I27" s="3" t="inlineStr">
        <is>
          <t>Nb</t>
        </is>
      </c>
    </row>
    <row r="28" ht="15" customHeight="1">
      <c r="H28" s="6" t="inlineStr">
        <is>
          <t>Risque physique</t>
        </is>
      </c>
      <c r="I28" s="7">
        <f>COUNTIF('3-Evaluations des Risques'!E5:E104,"*Risque physique*")</f>
        <v/>
      </c>
    </row>
    <row r="29" ht="15" customHeight="1">
      <c r="H29" s="6" t="inlineStr">
        <is>
          <t>Risque chimique</t>
        </is>
      </c>
      <c r="I29" s="7">
        <f>COUNTIF('3-Evaluations des Risques'!E5:E104,"*Risque chimique*")</f>
        <v/>
      </c>
    </row>
    <row r="30" ht="15" customHeight="1">
      <c r="H30" s="6" t="inlineStr">
        <is>
          <t>Risque electrique</t>
        </is>
      </c>
      <c r="I30" s="7">
        <f>COUNTIF('3-Evaluations des Risques'!E5:E104,"*Risque electrique*")</f>
        <v/>
      </c>
    </row>
    <row r="31" ht="15" customHeight="1">
      <c r="H31" s="6" t="inlineStr">
        <is>
          <t>Risque psychosocial</t>
        </is>
      </c>
      <c r="I31" s="7">
        <f>COUNTIF('3-Evaluations des Risques'!E5:E104,"*Risque psychosocial*")</f>
        <v/>
      </c>
    </row>
    <row r="32" ht="15" customHeight="1">
      <c r="H32" s="6" t="inlineStr">
        <is>
          <t>Risque thermique</t>
        </is>
      </c>
      <c r="I32" s="7">
        <f>COUNTIF('3-Evaluations des Risques'!E5:E104,"*Risque thermique*")</f>
        <v/>
      </c>
    </row>
    <row r="33" ht="15" customHeight="1">
      <c r="H33" s="6" t="inlineStr">
        <is>
          <t>Risque chute de hauteur</t>
        </is>
      </c>
      <c r="I33" s="7">
        <f>COUNTIF('3-Evaluations des Risques'!E5:E104,"*Risque chute de hauteur*")</f>
        <v/>
      </c>
    </row>
    <row r="34"/>
    <row r="35">
      <c r="B35" s="5" t="inlineStr">
        <is>
          <t>AT PAR DEPARTEMENT</t>
        </is>
      </c>
    </row>
    <row r="36">
      <c r="B36" s="3" t="inlineStr">
        <is>
          <t>Département</t>
        </is>
      </c>
      <c r="D36" s="3" t="inlineStr">
        <is>
          <t>Nb AT</t>
        </is>
      </c>
      <c r="F36" s="3" t="inlineStr">
        <is>
          <t>Nb Maladies</t>
        </is>
      </c>
      <c r="H36" s="3" t="inlineStr">
        <is>
          <t>Jours Arret AT</t>
        </is>
      </c>
      <c r="J36" s="3" t="inlineStr">
        <is>
          <t>Nb Visites</t>
        </is>
      </c>
    </row>
    <row r="37">
      <c r="B37" t="inlineStr">
        <is>
          <t>Cuisine &amp; Restauration</t>
        </is>
      </c>
      <c r="D37">
        <f>COUNTIF('5-Accidents du Travail'!E5:E104,"Cuisine &amp; Restauration")</f>
        <v/>
      </c>
      <c r="F37">
        <f>COUNTIF('6-Maladies Prof.'!E5:E104,"Cuisine &amp; Restauration")</f>
        <v/>
      </c>
      <c r="H37">
        <f>SUMIF('5-Accidents du Travail'!E5:E104,"Cuisine &amp; Restauration",'5-Accidents du Travail'!M5:M104)</f>
        <v/>
      </c>
      <c r="J37">
        <f>COUNTIF('7-Visites Medicales'!E5:E104,"Cuisine &amp; Restauration")</f>
        <v/>
      </c>
    </row>
    <row r="38">
      <c r="B38" t="inlineStr">
        <is>
          <t>Maintenance</t>
        </is>
      </c>
      <c r="D38">
        <f>COUNTIF('5-Accidents du Travail'!E5:E104,"Maintenance")</f>
        <v/>
      </c>
      <c r="F38">
        <f>COUNTIF('6-Maladies Prof.'!E5:E104,"Maintenance")</f>
        <v/>
      </c>
      <c r="H38">
        <f>SUMIF('5-Accidents du Travail'!E5:E104,"Maintenance",'5-Accidents du Travail'!M5:M104)</f>
        <v/>
      </c>
      <c r="J38">
        <f>COUNTIF('7-Visites Medicales'!E5:E104,"Maintenance")</f>
        <v/>
      </c>
    </row>
    <row r="39">
      <c r="B39" t="inlineStr">
        <is>
          <t>Sécurité</t>
        </is>
      </c>
      <c r="D39">
        <f>COUNTIF('5-Accidents du Travail'!E5:E104,"Sécurité")</f>
        <v/>
      </c>
      <c r="F39">
        <f>COUNTIF('6-Maladies Prof.'!E5:E104,"Sécurité")</f>
        <v/>
      </c>
      <c r="H39">
        <f>SUMIF('5-Accidents du Travail'!E5:E104,"Sécurité",'5-Accidents du Travail'!M5:M104)</f>
        <v/>
      </c>
      <c r="J39">
        <f>COUNTIF('7-Visites Medicales'!E5:E104,"Sécurité")</f>
        <v/>
      </c>
    </row>
    <row r="40">
      <c r="B40" t="inlineStr">
        <is>
          <t>Réception &amp; Front Office</t>
        </is>
      </c>
      <c r="D40">
        <f>COUNTIF('5-Accidents du Travail'!E5:E104,"Réception &amp; Front Office")</f>
        <v/>
      </c>
      <c r="F40">
        <f>COUNTIF('6-Maladies Prof.'!E5:E104,"Réception &amp; Front Office")</f>
        <v/>
      </c>
      <c r="H40">
        <f>SUMIF('5-Accidents du Travail'!E5:E104,"Réception &amp; Front Office",'5-Accidents du Travail'!M5:M104)</f>
        <v/>
      </c>
      <c r="J40">
        <f>COUNTIF('7-Visites Medicales'!E5:E104,"Réception &amp; Front Office")</f>
        <v/>
      </c>
    </row>
    <row r="41">
      <c r="B41" t="inlineStr">
        <is>
          <t>Service Client</t>
        </is>
      </c>
      <c r="D41">
        <f>COUNTIF('5-Accidents du Travail'!E5:E104,"Service Client")</f>
        <v/>
      </c>
      <c r="F41">
        <f>COUNTIF('6-Maladies Prof.'!E5:E104,"Service Client")</f>
        <v/>
      </c>
      <c r="H41">
        <f>SUMIF('5-Accidents du Travail'!E5:E104,"Service Client",'5-Accidents du Travail'!M5:M104)</f>
        <v/>
      </c>
      <c r="J41">
        <f>COUNTIF('7-Visites Medicales'!E5:E104,"Service Client")</f>
        <v/>
      </c>
    </row>
    <row r="42">
      <c r="B42" t="inlineStr">
        <is>
          <t>Finance &amp; Comptabilité</t>
        </is>
      </c>
      <c r="D42">
        <f>COUNTIF('5-Accidents du Travail'!E5:E104,"Finance &amp; Comptabilité")</f>
        <v/>
      </c>
      <c r="F42">
        <f>COUNTIF('6-Maladies Prof.'!E5:E104,"Finance &amp; Comptabilité")</f>
        <v/>
      </c>
      <c r="H42">
        <f>SUMIF('5-Accidents du Travail'!E5:E104,"Finance &amp; Comptabilité",'5-Accidents du Travail'!M5:M104)</f>
        <v/>
      </c>
      <c r="J42">
        <f>COUNTIF('7-Visites Medicales'!E5:E104,"Finance &amp; Comptabilité")</f>
        <v/>
      </c>
    </row>
    <row r="43">
      <c r="B43" t="inlineStr">
        <is>
          <t>Étage &amp; Housekeeping</t>
        </is>
      </c>
      <c r="D43">
        <f>COUNTIF('5-Accidents du Travail'!E5:E104,"Étage &amp; Housekeeping")</f>
        <v/>
      </c>
      <c r="F43">
        <f>COUNTIF('6-Maladies Prof.'!E5:E104,"Étage &amp; Housekeeping")</f>
        <v/>
      </c>
      <c r="H43">
        <f>SUMIF('5-Accidents du Travail'!E5:E104,"Étage &amp; Housekeeping",'5-Accidents du Travail'!M5:M104)</f>
        <v/>
      </c>
      <c r="J43">
        <f>COUNTIF('7-Visites Medicales'!E5:E104,"Étage &amp; Housekeeping")</f>
        <v/>
      </c>
    </row>
    <row r="44">
      <c r="B44" t="inlineStr">
        <is>
          <t>Commercial</t>
        </is>
      </c>
      <c r="D44">
        <f>COUNTIF('5-Accidents du Travail'!E5:E104,"Commercial")</f>
        <v/>
      </c>
      <c r="F44">
        <f>COUNTIF('6-Maladies Prof.'!E5:E104,"Commercial")</f>
        <v/>
      </c>
      <c r="H44">
        <f>SUMIF('5-Accidents du Travail'!E5:E104,"Commercial",'5-Accidents du Travail'!M5:M104)</f>
        <v/>
      </c>
      <c r="J44">
        <f>COUNTIF('7-Visites Medicales'!E5:E104,"Commercial")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I28">
    <cfRule type="cellIs" priority="13" operator="greaterThan" dxfId="4">
      <formula>0</formula>
    </cfRule>
  </conditionalFormatting>
  <conditionalFormatting sqref="I29">
    <cfRule type="cellIs" priority="14" operator="greaterThan" dxfId="4">
      <formula>0</formula>
    </cfRule>
  </conditionalFormatting>
  <conditionalFormatting sqref="I30">
    <cfRule type="cellIs" priority="15" operator="greaterThan" dxfId="4">
      <formula>0</formula>
    </cfRule>
  </conditionalFormatting>
  <conditionalFormatting sqref="I31">
    <cfRule type="cellIs" priority="16" operator="greaterThan" dxfId="4">
      <formula>0</formula>
    </cfRule>
  </conditionalFormatting>
  <conditionalFormatting sqref="I32">
    <cfRule type="cellIs" priority="17" operator="greaterThan" dxfId="4">
      <formula>0</formula>
    </cfRule>
  </conditionalFormatting>
  <conditionalFormatting sqref="I33">
    <cfRule type="cellIs" priority="18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departement</t>
        </is>
      </c>
      <c r="C1" s="8" t="inlineStr">
        <is>
          <t>poste_hotel</t>
        </is>
      </c>
      <c r="D1" s="8" t="inlineStr">
        <is>
          <t>type_risque</t>
        </is>
      </c>
      <c r="E1" s="8" t="inlineStr">
        <is>
          <t>niveau_risque</t>
        </is>
      </c>
      <c r="F1" s="8" t="inlineStr">
        <is>
          <t>statut_risque</t>
        </is>
      </c>
      <c r="G1" s="8" t="inlineStr">
        <is>
          <t>gravite_accident</t>
        </is>
      </c>
      <c r="H1" s="8" t="inlineStr">
        <is>
          <t>lieu_accident</t>
        </is>
      </c>
      <c r="I1" s="8" t="inlineStr">
        <is>
          <t>cause_accident</t>
        </is>
      </c>
      <c r="J1" s="8" t="inlineStr">
        <is>
          <t>statut_accident</t>
        </is>
      </c>
      <c r="K1" s="8" t="inlineStr">
        <is>
          <t>type_maladie_pro</t>
        </is>
      </c>
      <c r="L1" s="8" t="inlineStr">
        <is>
          <t>statut_maladie</t>
        </is>
      </c>
      <c r="M1" s="8" t="inlineStr">
        <is>
          <t>type_visite</t>
        </is>
      </c>
      <c r="N1" s="8" t="inlineStr">
        <is>
          <t>resultat_visite</t>
        </is>
      </c>
      <c r="O1" s="8" t="inlineStr">
        <is>
          <t>statut_visite</t>
        </is>
      </c>
      <c r="P1" s="8" t="inlineStr">
        <is>
          <t>type_epi</t>
        </is>
      </c>
      <c r="Q1" s="8" t="inlineStr">
        <is>
          <t>statut_epi</t>
        </is>
      </c>
      <c r="R1" s="8" t="inlineStr">
        <is>
          <t>type_consigne</t>
        </is>
      </c>
      <c r="S1" s="8" t="inlineStr">
        <is>
          <t>statut_consigne</t>
        </is>
      </c>
      <c r="T1" s="8" t="inlineStr">
        <is>
          <t>statut_action</t>
        </is>
      </c>
      <c r="U1" s="8" t="inlineStr">
        <is>
          <t>statut_formation</t>
        </is>
      </c>
      <c r="V1" s="8" t="inlineStr">
        <is>
          <t>mois</t>
        </is>
      </c>
      <c r="W1" s="8" t="inlineStr">
        <is>
          <t>annee</t>
        </is>
      </c>
      <c r="X1" s="8" t="inlineStr">
        <is>
          <t>statut_rapport</t>
        </is>
      </c>
      <c r="Y1" s="8" t="inlineStr">
        <is>
          <t>priorite_action</t>
        </is>
      </c>
    </row>
    <row r="2">
      <c r="B2" s="9" t="inlineStr">
        <is>
          <t>Direction Générale</t>
        </is>
      </c>
      <c r="C2" s="9" t="inlineStr">
        <is>
          <t>DG</t>
        </is>
      </c>
      <c r="D2" s="9" t="inlineStr">
        <is>
          <t>Risque physique</t>
        </is>
      </c>
      <c r="E2" s="9" t="inlineStr">
        <is>
          <t>Faible</t>
        </is>
      </c>
      <c r="F2" s="9" t="inlineStr">
        <is>
          <t>Identifie</t>
        </is>
      </c>
      <c r="G2" s="9" t="inlineStr">
        <is>
          <t>Bénin (sans arret)</t>
        </is>
      </c>
      <c r="H2" s="9" t="inlineStr">
        <is>
          <t>Cuisine</t>
        </is>
      </c>
      <c r="I2" s="9" t="inlineStr">
        <is>
          <t>Glissade / chute</t>
        </is>
      </c>
      <c r="J2" s="9" t="inlineStr">
        <is>
          <t>Declare</t>
        </is>
      </c>
      <c r="K2" s="9" t="inlineStr">
        <is>
          <t>TMS (troubles musculosquelettiques)</t>
        </is>
      </c>
      <c r="L2" s="9" t="inlineStr">
        <is>
          <t>Declaree</t>
        </is>
      </c>
      <c r="M2" s="9" t="inlineStr">
        <is>
          <t>Visite d'embauche</t>
        </is>
      </c>
      <c r="N2" s="9" t="inlineStr">
        <is>
          <t>Apte</t>
        </is>
      </c>
      <c r="O2" s="9" t="inlineStr">
        <is>
          <t>Planifiee</t>
        </is>
      </c>
      <c r="P2" s="9" t="inlineStr">
        <is>
          <t>Casque</t>
        </is>
      </c>
      <c r="Q2" s="9" t="inlineStr">
        <is>
          <t>En stock</t>
        </is>
      </c>
      <c r="R2" s="9" t="inlineStr">
        <is>
          <t>Consigne generale</t>
        </is>
      </c>
      <c r="S2" s="9" t="inlineStr">
        <is>
          <t>En vigueur</t>
        </is>
      </c>
      <c r="T2" s="9" t="inlineStr">
        <is>
          <t>Planifiee</t>
        </is>
      </c>
      <c r="U2" s="9" t="inlineStr">
        <is>
          <t>Planifiee</t>
        </is>
      </c>
      <c r="V2" s="9" t="inlineStr">
        <is>
          <t>Janvier</t>
        </is>
      </c>
      <c r="W2" s="9" t="inlineStr">
        <is>
          <t>2024</t>
        </is>
      </c>
      <c r="X2" s="9" t="inlineStr">
        <is>
          <t>Brouillon</t>
        </is>
      </c>
      <c r="Y2" s="9" t="inlineStr">
        <is>
          <t>Haute</t>
        </is>
      </c>
    </row>
    <row r="3">
      <c r="B3" s="9" t="inlineStr">
        <is>
          <t>Service Client</t>
        </is>
      </c>
      <c r="C3" s="9" t="inlineStr">
        <is>
          <t>DRH</t>
        </is>
      </c>
      <c r="D3" s="9" t="inlineStr">
        <is>
          <t>Risque chimique</t>
        </is>
      </c>
      <c r="E3" s="9" t="inlineStr">
        <is>
          <t>Moyen</t>
        </is>
      </c>
      <c r="F3" s="9" t="inlineStr">
        <is>
          <t>En cours d'evaluation</t>
        </is>
      </c>
      <c r="G3" s="9" t="inlineStr">
        <is>
          <t>Mineur (avec arret &lt;8j)</t>
        </is>
      </c>
      <c r="H3" s="9" t="inlineStr">
        <is>
          <t>Salle restaurant</t>
        </is>
      </c>
      <c r="I3" s="9" t="inlineStr">
        <is>
          <t>Manipulation incorrecte</t>
        </is>
      </c>
      <c r="J3" s="9" t="inlineStr">
        <is>
          <t>En cours d'enquete</t>
        </is>
      </c>
      <c r="K3" s="9" t="inlineStr">
        <is>
          <t>Maladie respiratoire</t>
        </is>
      </c>
      <c r="L3" s="9" t="inlineStr">
        <is>
          <t>En cours d'instruction</t>
        </is>
      </c>
      <c r="M3" s="9" t="inlineStr">
        <is>
          <t>Visite periodique</t>
        </is>
      </c>
      <c r="N3" s="9" t="inlineStr">
        <is>
          <t>Apte avec restriction</t>
        </is>
      </c>
      <c r="O3" s="9" t="inlineStr">
        <is>
          <t>Realisee</t>
        </is>
      </c>
      <c r="P3" s="9" t="inlineStr">
        <is>
          <t>Gants</t>
        </is>
      </c>
      <c r="Q3" s="9" t="inlineStr">
        <is>
          <t>Attribue</t>
        </is>
      </c>
      <c r="R3" s="9" t="inlineStr">
        <is>
          <t>Consigne specifique poste</t>
        </is>
      </c>
      <c r="S3" s="9" t="inlineStr">
        <is>
          <t>A revoir</t>
        </is>
      </c>
      <c r="T3" s="9" t="inlineStr">
        <is>
          <t>En cours</t>
        </is>
      </c>
      <c r="U3" s="9" t="inlineStr">
        <is>
          <t>En cours</t>
        </is>
      </c>
      <c r="V3" s="9" t="inlineStr">
        <is>
          <t>Fevrier</t>
        </is>
      </c>
      <c r="W3" s="9" t="inlineStr">
        <is>
          <t>2025</t>
        </is>
      </c>
      <c r="X3" s="9" t="inlineStr">
        <is>
          <t>Valide</t>
        </is>
      </c>
      <c r="Y3" s="9" t="inlineStr">
        <is>
          <t>Moyenne</t>
        </is>
      </c>
    </row>
    <row r="4">
      <c r="B4" s="9" t="inlineStr">
        <is>
          <t>Finance &amp; Comptabilité</t>
        </is>
      </c>
      <c r="C4" s="9" t="inlineStr">
        <is>
          <t>Assistante RH</t>
        </is>
      </c>
      <c r="D4" s="9" t="inlineStr">
        <is>
          <t>Risque biologique</t>
        </is>
      </c>
      <c r="E4" s="9" t="inlineStr">
        <is>
          <t>Eleve</t>
        </is>
      </c>
      <c r="F4" s="9" t="inlineStr">
        <is>
          <t>Evalue</t>
        </is>
      </c>
      <c r="G4" s="9" t="inlineStr">
        <is>
          <t>Moyen (8-30j)</t>
        </is>
      </c>
      <c r="H4" s="9" t="inlineStr">
        <is>
          <t>Reception</t>
        </is>
      </c>
      <c r="I4" s="9" t="inlineStr">
        <is>
          <t>Defaut equipement</t>
        </is>
      </c>
      <c r="J4" s="9" t="inlineStr">
        <is>
          <t>Enquete terminee</t>
        </is>
      </c>
      <c r="K4" s="9" t="inlineStr">
        <is>
          <t>Dermatose professionnelle</t>
        </is>
      </c>
      <c r="L4" s="9" t="inlineStr">
        <is>
          <t>Reconnue CNPS</t>
        </is>
      </c>
      <c r="M4" s="9" t="inlineStr">
        <is>
          <t>Visite de reprise</t>
        </is>
      </c>
      <c r="N4" s="9" t="inlineStr">
        <is>
          <t>Inapte temporaire</t>
        </is>
      </c>
      <c r="O4" s="9" t="inlineStr">
        <is>
          <t>Reportee</t>
        </is>
      </c>
      <c r="P4" s="9" t="inlineStr">
        <is>
          <t>Chaussures de securite</t>
        </is>
      </c>
      <c r="Q4" s="9" t="inlineStr">
        <is>
          <t>En cours de commande</t>
        </is>
      </c>
      <c r="R4" s="9" t="inlineStr">
        <is>
          <t>Procedure urgence</t>
        </is>
      </c>
      <c r="S4" s="9" t="inlineStr">
        <is>
          <t>Obsolette</t>
        </is>
      </c>
      <c r="T4" s="9" t="inlineStr">
        <is>
          <t>Terminee</t>
        </is>
      </c>
      <c r="U4" s="9" t="inlineStr">
        <is>
          <t>Realisee</t>
        </is>
      </c>
      <c r="V4" s="9" t="inlineStr">
        <is>
          <t>Mars</t>
        </is>
      </c>
      <c r="W4" s="9" t="inlineStr">
        <is>
          <t>2026</t>
        </is>
      </c>
      <c r="X4" s="9" t="inlineStr">
        <is>
          <t>Approuve</t>
        </is>
      </c>
      <c r="Y4" s="9" t="inlineStr">
        <is>
          <t>Basse</t>
        </is>
      </c>
    </row>
    <row r="5">
      <c r="B5" s="9" t="inlineStr">
        <is>
          <t>Marketing &amp; Communication</t>
        </is>
      </c>
      <c r="C5" s="9" t="inlineStr">
        <is>
          <t>DAF</t>
        </is>
      </c>
      <c r="D5" s="9" t="inlineStr">
        <is>
          <t>Risque ergonomique</t>
        </is>
      </c>
      <c r="E5" s="9" t="inlineStr">
        <is>
          <t>Tres eleve</t>
        </is>
      </c>
      <c r="F5" s="9" t="inlineStr">
        <is>
          <t>Mesures en place</t>
        </is>
      </c>
      <c r="G5" s="9" t="inlineStr">
        <is>
          <t>Grave (&gt;30j)</t>
        </is>
      </c>
      <c r="H5" s="9" t="inlineStr">
        <is>
          <t>Lobby</t>
        </is>
      </c>
      <c r="I5" s="9" t="inlineStr">
        <is>
          <t>Non respect consignes</t>
        </is>
      </c>
      <c r="J5" s="9" t="inlineStr">
        <is>
          <t>Declaration CNPS</t>
        </is>
      </c>
      <c r="K5" s="9" t="inlineStr">
        <is>
          <t>Lombalgie chronique</t>
        </is>
      </c>
      <c r="L5" s="9" t="inlineStr">
        <is>
          <t>Non reconnue</t>
        </is>
      </c>
      <c r="M5" s="9" t="inlineStr">
        <is>
          <t>Visite pre-reprise</t>
        </is>
      </c>
      <c r="N5" s="9" t="inlineStr">
        <is>
          <t>Inapte definitif</t>
        </is>
      </c>
      <c r="O5" s="9" t="inlineStr">
        <is>
          <t>Absente</t>
        </is>
      </c>
      <c r="P5" s="9" t="inlineStr">
        <is>
          <t>Lunettes</t>
        </is>
      </c>
      <c r="Q5" s="9" t="inlineStr">
        <is>
          <t>A remplacer</t>
        </is>
      </c>
      <c r="R5" s="9" t="inlineStr">
        <is>
          <t>Consine travaux dangereux</t>
        </is>
      </c>
      <c r="S5" s="9" t="inlineStr">
        <is>
          <t>En elaboration</t>
        </is>
      </c>
      <c r="T5" s="9" t="inlineStr">
        <is>
          <t>Reportee</t>
        </is>
      </c>
      <c r="U5" s="9" t="inlineStr">
        <is>
          <t>Annulee</t>
        </is>
      </c>
      <c r="V5" s="9" t="inlineStr">
        <is>
          <t>Avril</t>
        </is>
      </c>
      <c r="X5" s="9" t="inlineStr">
        <is>
          <t>Rejete</t>
        </is>
      </c>
    </row>
    <row r="6">
      <c r="B6" s="9" t="inlineStr">
        <is>
          <t>Maintenance</t>
        </is>
      </c>
      <c r="C6" s="9" t="inlineStr">
        <is>
          <t>Comptable senior</t>
        </is>
      </c>
      <c r="D6" s="9" t="inlineStr">
        <is>
          <t>Risque psychosocial</t>
        </is>
      </c>
      <c r="E6" s="9" t="inlineStr">
        <is>
          <t>Critique</t>
        </is>
      </c>
      <c r="F6" s="9" t="inlineStr">
        <is>
          <t>Residuel acceptable</t>
        </is>
      </c>
      <c r="G6" s="9" t="inlineStr">
        <is>
          <t>Fatal</t>
        </is>
      </c>
      <c r="H6" s="9" t="inlineStr">
        <is>
          <t>Chambre etage</t>
        </is>
      </c>
      <c r="I6" s="9" t="inlineStr">
        <is>
          <t>Fatigue / inattention</t>
        </is>
      </c>
      <c r="J6" s="9" t="inlineStr">
        <is>
          <t>Indemnise</t>
        </is>
      </c>
      <c r="K6" s="9" t="inlineStr">
        <is>
          <t>Surdite professionnelle</t>
        </is>
      </c>
      <c r="L6" s="9" t="inlineStr">
        <is>
          <t>En contestation</t>
        </is>
      </c>
      <c r="M6" s="9" t="inlineStr">
        <is>
          <t>Visite a la demande employe</t>
        </is>
      </c>
      <c r="N6" s="9" t="inlineStr">
        <is>
          <t>A renouveler</t>
        </is>
      </c>
      <c r="O6" s="9" t="inlineStr">
        <is>
          <t>En attente</t>
        </is>
      </c>
      <c r="P6" s="9" t="inlineStr">
        <is>
          <t>Masque respiratoire</t>
        </is>
      </c>
      <c r="Q6" s="9" t="inlineStr">
        <is>
          <t>Perdu / vole</t>
        </is>
      </c>
      <c r="R6" s="9" t="inlineStr">
        <is>
          <t>Permis de feu</t>
        </is>
      </c>
      <c r="S6" s="9" t="inlineStr">
        <is>
          <t>Archivee</t>
        </is>
      </c>
      <c r="T6" s="9" t="inlineStr">
        <is>
          <t>Annulee</t>
        </is>
      </c>
      <c r="U6" s="9" t="inlineStr">
        <is>
          <t>Reportee</t>
        </is>
      </c>
      <c r="V6" s="9" t="inlineStr">
        <is>
          <t>Mai</t>
        </is>
      </c>
    </row>
    <row r="7">
      <c r="B7" s="9" t="inlineStr">
        <is>
          <t>Commercial</t>
        </is>
      </c>
      <c r="C7" s="9" t="inlineStr">
        <is>
          <t>Chef Comptable</t>
        </is>
      </c>
      <c r="D7" s="9" t="inlineStr">
        <is>
          <t>Risque electrique</t>
        </is>
      </c>
      <c r="F7" s="9" t="inlineStr">
        <is>
          <t>Non traite</t>
        </is>
      </c>
      <c r="H7" s="9" t="inlineStr">
        <is>
          <t>Sous-sol</t>
        </is>
      </c>
      <c r="I7" s="9" t="inlineStr">
        <is>
          <t>Environnement dangereux</t>
        </is>
      </c>
      <c r="J7" s="9" t="inlineStr">
        <is>
          <t>Cloture</t>
        </is>
      </c>
      <c r="K7" s="9" t="inlineStr">
        <is>
          <t>Pathologie liée aux produits chimiques</t>
        </is>
      </c>
      <c r="L7" s="9" t="inlineStr">
        <is>
          <t>Guerie</t>
        </is>
      </c>
      <c r="M7" s="9" t="inlineStr">
        <is>
          <t>Examen special</t>
        </is>
      </c>
      <c r="P7" s="9" t="inlineStr">
        <is>
          <t>Gilet haute visibilite</t>
        </is>
      </c>
      <c r="Q7" s="9" t="inlineStr">
        <is>
          <t>Rebute</t>
        </is>
      </c>
      <c r="R7" s="9" t="inlineStr">
        <is>
          <t>Permis de travail en hauteur</t>
        </is>
      </c>
      <c r="T7" s="9" t="inlineStr">
        <is>
          <t>En attente</t>
        </is>
      </c>
      <c r="V7" s="9" t="inlineStr">
        <is>
          <t>Juin</t>
        </is>
      </c>
    </row>
    <row r="8">
      <c r="B8" s="9" t="inlineStr">
        <is>
          <t>Logistique &amp; Approvisionnement</t>
        </is>
      </c>
      <c r="C8" s="9" t="inlineStr">
        <is>
          <t>Chef Marketing</t>
        </is>
      </c>
      <c r="D8" s="9" t="inlineStr">
        <is>
          <t>Risque incendie</t>
        </is>
      </c>
      <c r="H8" s="9" t="inlineStr">
        <is>
          <t>Parking</t>
        </is>
      </c>
      <c r="I8" s="9" t="inlineStr">
        <is>
          <t>Contact produit chimique</t>
        </is>
      </c>
      <c r="J8" s="9" t="inlineStr">
        <is>
          <t>Conteste</t>
        </is>
      </c>
      <c r="K8" s="9" t="inlineStr">
        <is>
          <t>Stress chronique / burnout</t>
        </is>
      </c>
      <c r="M8" s="9" t="inlineStr">
        <is>
          <t>Visite de surveillance medicale</t>
        </is>
      </c>
      <c r="P8" s="9" t="inlineStr">
        <is>
          <t>Protecteur auditif</t>
        </is>
      </c>
      <c r="V8" s="9" t="inlineStr">
        <is>
          <t>Juillet</t>
        </is>
      </c>
    </row>
    <row r="9">
      <c r="B9" s="9" t="inlineStr">
        <is>
          <t>Cuisine &amp; Restauration</t>
        </is>
      </c>
      <c r="C9" s="9" t="inlineStr">
        <is>
          <t>Chef de service IT</t>
        </is>
      </c>
      <c r="D9" s="9" t="inlineStr">
        <is>
          <t>Risque chute de plain-pied</t>
        </is>
      </c>
      <c r="H9" s="9" t="inlineStr">
        <is>
          <t>Jardin/piscine</t>
        </is>
      </c>
      <c r="I9" s="9" t="inlineStr">
        <is>
          <t>Surcharge physique</t>
        </is>
      </c>
      <c r="P9" s="9" t="inlineStr">
        <is>
          <t>Tablier</t>
        </is>
      </c>
      <c r="V9" s="9" t="inlineStr">
        <is>
          <t>Aout</t>
        </is>
      </c>
    </row>
    <row r="10">
      <c r="B10" s="9" t="inlineStr">
        <is>
          <t>Réception &amp; Front Office</t>
        </is>
      </c>
      <c r="C10" s="9" t="inlineStr">
        <is>
          <t>Technicien IT</t>
        </is>
      </c>
      <c r="D10" s="9" t="inlineStr">
        <is>
          <t>Risque chute de hauteur</t>
        </is>
      </c>
      <c r="H10" s="9" t="inlineStr">
        <is>
          <t>Local technique</t>
        </is>
      </c>
      <c r="I10" s="9" t="inlineStr">
        <is>
          <t>Electrocution</t>
        </is>
      </c>
      <c r="P10" s="9" t="inlineStr">
        <is>
          <t>Harnais</t>
        </is>
      </c>
      <c r="V10" s="9" t="inlineStr">
        <is>
          <t>Septembre</t>
        </is>
      </c>
    </row>
    <row r="11">
      <c r="B11" s="9" t="inlineStr">
        <is>
          <t>Sécurité</t>
        </is>
      </c>
      <c r="C11" s="9" t="inlineStr">
        <is>
          <t>Chef Commercial</t>
        </is>
      </c>
      <c r="D11" s="9" t="inlineStr">
        <is>
          <t>Risque bruit</t>
        </is>
      </c>
      <c r="H11" s="9" t="inlineStr">
        <is>
          <t>Bureau</t>
        </is>
      </c>
      <c r="I11" s="9" t="inlineStr">
        <is>
          <t>Brulure</t>
        </is>
      </c>
      <c r="P11" s="9" t="inlineStr">
        <is>
          <t>Combinaison</t>
        </is>
      </c>
      <c r="V11" s="9" t="inlineStr">
        <is>
          <t>Octobre</t>
        </is>
      </c>
    </row>
    <row r="12">
      <c r="B12" s="9" t="inlineStr">
        <is>
          <t>Étage &amp; Housekeeping</t>
        </is>
      </c>
      <c r="C12" s="9" t="inlineStr">
        <is>
          <t>Agent Commercial</t>
        </is>
      </c>
      <c r="D12" s="9" t="inlineStr">
        <is>
          <t>Risque thermique</t>
        </is>
      </c>
      <c r="H12" s="9" t="inlineStr">
        <is>
          <t>Entrepot</t>
        </is>
      </c>
      <c r="P12" s="9" t="inlineStr">
        <is>
          <t>Ecran facial</t>
        </is>
      </c>
      <c r="V12" s="9" t="inlineStr">
        <is>
          <t>Novembre</t>
        </is>
      </c>
    </row>
    <row r="13">
      <c r="B13" s="9" t="n"/>
      <c r="C13" s="9" t="inlineStr">
        <is>
          <t>Chef Logistique</t>
        </is>
      </c>
      <c r="H13" s="9" t="inlineStr">
        <is>
          <t>Couloirs</t>
        </is>
      </c>
      <c r="V13" s="9" t="inlineStr">
        <is>
          <t>Decembre</t>
        </is>
      </c>
    </row>
    <row r="14">
      <c r="B14" s="9" t="n"/>
      <c r="C14" s="9" t="inlineStr">
        <is>
          <t>Magasinier</t>
        </is>
      </c>
      <c r="H14" s="9" t="inlineStr">
        <is>
          <t>Salle reunion</t>
        </is>
      </c>
    </row>
    <row r="15">
      <c r="C15" s="9" t="inlineStr">
        <is>
          <t>Chef Reception</t>
        </is>
      </c>
      <c r="H15" s="9" t="inlineStr">
        <is>
          <t>Buanderie</t>
        </is>
      </c>
    </row>
    <row r="16">
      <c r="C16" s="9" t="inlineStr">
        <is>
          <t>Receptionniste</t>
        </is>
      </c>
    </row>
    <row r="17">
      <c r="C17" s="9" t="inlineStr">
        <is>
          <t>Concierge</t>
        </is>
      </c>
    </row>
    <row r="18">
      <c r="C18" s="9" t="inlineStr">
        <is>
          <t>Chef Cuisine</t>
        </is>
      </c>
    </row>
    <row r="19">
      <c r="C19" s="9" t="inlineStr">
        <is>
          <t>Sous-Chef</t>
        </is>
      </c>
    </row>
    <row r="20">
      <c r="C20" s="9" t="inlineStr">
        <is>
          <t>Cuisinier</t>
        </is>
      </c>
    </row>
    <row r="21">
      <c r="C21" s="9" t="inlineStr">
        <is>
          <t>Plongeur</t>
        </is>
      </c>
    </row>
    <row r="22">
      <c r="C22" s="9" t="inlineStr">
        <is>
          <t>Chef Entretien</t>
        </is>
      </c>
    </row>
    <row r="23">
      <c r="C23" s="9" t="inlineStr">
        <is>
          <t>Agent Entretien</t>
        </is>
      </c>
    </row>
    <row r="24">
      <c r="C24" s="9" t="inlineStr">
        <is>
          <t>Chef Securite</t>
        </is>
      </c>
    </row>
    <row r="25">
      <c r="C25" s="9" t="inlineStr">
        <is>
          <t>Agent Securite</t>
        </is>
      </c>
    </row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8" customWidth="1" min="5" max="5"/>
    <col width="18" customWidth="1" min="6" max="6"/>
    <col width="22" customWidth="1" min="7" max="7"/>
    <col width="24" customWidth="1" min="8" max="8"/>
    <col width="36" customWidth="1" min="9" max="9"/>
    <col width="34" customWidth="1" min="10" max="10"/>
  </cols>
  <sheetData>
    <row r="1" ht="15" customHeight="1"/>
    <row r="2" ht="32" customHeight="1">
      <c r="B2" s="1" t="inlineStr">
        <is>
          <t>REGISTRE SECURITE &amp; SANTE AU TRAVAIL (#97)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Date</t>
        </is>
      </c>
      <c r="D4" s="10" t="inlineStr">
        <is>
          <t>Heure</t>
        </is>
      </c>
      <c r="E4" s="10" t="inlineStr">
        <is>
          <t>Evenement</t>
        </is>
      </c>
      <c r="F4" s="10" t="inlineStr">
        <is>
          <t>Lieu</t>
        </is>
      </c>
      <c r="G4" s="10" t="inlineStr">
        <is>
          <t>Departement</t>
        </is>
      </c>
      <c r="H4" s="10" t="inlineStr">
        <is>
          <t>Personne Concernee</t>
        </is>
      </c>
      <c r="I4" s="10" t="inlineStr">
        <is>
          <t>Description</t>
        </is>
      </c>
      <c r="J4" s="10" t="inlineStr">
        <is>
          <t>Action Immediate</t>
        </is>
      </c>
    </row>
    <row r="5" ht="22" customHeight="1">
      <c r="B5" s="11" t="inlineStr">
        <is>
          <t>SST-001</t>
        </is>
      </c>
      <c r="C5" s="28" t="n">
        <v>45672</v>
      </c>
      <c r="D5" s="11" t="inlineStr">
        <is>
          <t>08:30</t>
        </is>
      </c>
      <c r="E5" s="11" t="inlineStr">
        <is>
          <t>Chute dans cuisine</t>
        </is>
      </c>
      <c r="F5" s="11" t="inlineStr">
        <is>
          <t>Cuisine</t>
        </is>
      </c>
      <c r="G5" s="11" t="inlineStr">
        <is>
          <t>Cuisine &amp; Restauration</t>
        </is>
      </c>
      <c r="H5" s="11" t="inlineStr">
        <is>
          <t>Plongeur Tagne R.</t>
        </is>
      </c>
      <c r="I5" s="11" t="inlineStr">
        <is>
          <t>Glissade sur sol mouille, contusion poignet</t>
        </is>
      </c>
      <c r="J5" s="11" t="inlineStr">
        <is>
          <t>Nettoyage sol + premiers soins</t>
        </is>
      </c>
    </row>
    <row r="6" ht="22" customHeight="1">
      <c r="B6" s="13" t="inlineStr">
        <is>
          <t>SST-002</t>
        </is>
      </c>
      <c r="C6" s="29" t="n">
        <v>45708</v>
      </c>
      <c r="D6" s="13" t="inlineStr">
        <is>
          <t>14:00</t>
        </is>
      </c>
      <c r="E6" s="13" t="inlineStr">
        <is>
          <t>Fuite gaz cuisine</t>
        </is>
      </c>
      <c r="F6" s="13" t="inlineStr">
        <is>
          <t>Cuisine</t>
        </is>
      </c>
      <c r="G6" s="13" t="inlineStr">
        <is>
          <t>Cuisine &amp; Restauration</t>
        </is>
      </c>
      <c r="H6" s="13" t="inlineStr">
        <is>
          <t>Plongeur Tagne R.</t>
        </is>
      </c>
      <c r="I6" s="13" t="inlineStr">
        <is>
          <t>Fuite detectee au niveau bouteille gaz</t>
        </is>
      </c>
      <c r="J6" s="13" t="inlineStr">
        <is>
          <t>Evacuation cuisine + fermeture vanne</t>
        </is>
      </c>
    </row>
    <row r="7" ht="22" customHeight="1">
      <c r="B7" s="11" t="inlineStr">
        <is>
          <t>SST-003</t>
        </is>
      </c>
      <c r="C7" s="28" t="n">
        <v>45726</v>
      </c>
      <c r="D7" s="11" t="inlineStr">
        <is>
          <t>06:45</t>
        </is>
      </c>
      <c r="E7" s="11" t="inlineStr">
        <is>
          <t>Coupure agent entretien</t>
        </is>
      </c>
      <c r="F7" s="11" t="inlineStr">
        <is>
          <t>Local technique</t>
        </is>
      </c>
      <c r="G7" s="11" t="inlineStr">
        <is>
          <t>Maintenance</t>
        </is>
      </c>
      <c r="H7" s="11" t="inlineStr">
        <is>
          <t>Technicien Fokam E.</t>
        </is>
      </c>
      <c r="I7" s="11" t="inlineStr">
        <is>
          <t>Coupure lors remplacement vitre</t>
        </is>
      </c>
      <c r="J7" s="11" t="inlineStr">
        <is>
          <t>Pansement + envoi infirmerie</t>
        </is>
      </c>
    </row>
    <row r="8" ht="22" customHeight="1">
      <c r="B8" s="13" t="inlineStr">
        <is>
          <t>SST-004</t>
        </is>
      </c>
      <c r="C8" s="29" t="n">
        <v>45752</v>
      </c>
      <c r="D8" s="13" t="inlineStr">
        <is>
          <t>22:00</t>
        </is>
      </c>
      <c r="E8" s="13" t="inlineStr">
        <is>
          <t>Client agressif reception</t>
        </is>
      </c>
      <c r="F8" s="13" t="inlineStr">
        <is>
          <t>Reception</t>
        </is>
      </c>
      <c r="G8" s="13" t="inlineStr">
        <is>
          <t>Réception &amp; Front Office</t>
        </is>
      </c>
      <c r="H8" s="13" t="inlineStr">
        <is>
          <t>Réceptionniste Tchinda A.</t>
        </is>
      </c>
      <c r="I8" s="13" t="inlineStr">
        <is>
          <t>Client agresse verbalement receptionniste</t>
        </is>
      </c>
      <c r="J8" s="13" t="inlineStr">
        <is>
          <t>Intervention securite + rapport</t>
        </is>
      </c>
    </row>
    <row r="9" ht="22" customHeight="1">
      <c r="B9" s="11" t="inlineStr">
        <is>
          <t>SST-005</t>
        </is>
      </c>
      <c r="C9" s="28" t="n">
        <v>45795</v>
      </c>
      <c r="D9" s="11" t="inlineStr">
        <is>
          <t>10:15</t>
        </is>
      </c>
      <c r="E9" s="11" t="inlineStr">
        <is>
          <t>Bruit alarme incendie</t>
        </is>
      </c>
      <c r="F9" s="11" t="inlineStr">
        <is>
          <t>Etage 3</t>
        </is>
      </c>
      <c r="G9" s="11" t="inlineStr">
        <is>
          <t>Réception &amp; Front Office</t>
        </is>
      </c>
      <c r="H9" s="11" t="inlineStr">
        <is>
          <t>Chef Reception</t>
        </is>
      </c>
      <c r="I9" s="11" t="inlineStr">
        <is>
          <t>Alarme declenchee par fumee cuisine</t>
        </is>
      </c>
      <c r="J9" s="11" t="inlineStr">
        <is>
          <t>Verification + fausse alarme</t>
        </is>
      </c>
    </row>
    <row r="10" ht="22" customHeight="1">
      <c r="B10" s="15">
        <f>IF(C10="","SST-"&amp;TEXT(COUNTA($C$5:C10),"000"))</f>
        <v/>
      </c>
      <c r="C10" s="29" t="n"/>
      <c r="D10" s="13" t="n"/>
      <c r="E10" s="13" t="n"/>
      <c r="F10" s="13" t="n"/>
      <c r="G10" s="13" t="n"/>
      <c r="H10" s="13" t="n"/>
      <c r="I10" s="13" t="n"/>
      <c r="J10" s="13" t="n"/>
    </row>
    <row r="11" ht="22" customHeight="1">
      <c r="B11" s="16">
        <f>IF(C11="","SST-"&amp;TEXT(COUNTA($C$5:C11),"000"))</f>
        <v/>
      </c>
      <c r="C11" s="28" t="n"/>
      <c r="D11" s="11" t="n"/>
      <c r="E11" s="11" t="n"/>
      <c r="F11" s="11" t="n"/>
      <c r="G11" s="11" t="n"/>
      <c r="H11" s="11" t="n"/>
      <c r="I11" s="11" t="n"/>
      <c r="J11" s="11" t="n"/>
    </row>
    <row r="12" ht="22" customHeight="1">
      <c r="B12" s="15">
        <f>IF(C12="","SST-"&amp;TEXT(COUNTA($C$5:C12),"000"))</f>
        <v/>
      </c>
      <c r="C12" s="29" t="n"/>
      <c r="D12" s="13" t="n"/>
      <c r="E12" s="13" t="n"/>
      <c r="F12" s="13" t="n"/>
      <c r="G12" s="13" t="n"/>
      <c r="H12" s="13" t="n"/>
      <c r="I12" s="13" t="n"/>
      <c r="J12" s="13" t="n"/>
    </row>
    <row r="13" ht="22" customHeight="1">
      <c r="B13" s="16">
        <f>IF(C13="","SST-"&amp;TEXT(COUNTA($C$5:C13),"000"))</f>
        <v/>
      </c>
      <c r="C13" s="28" t="n"/>
      <c r="D13" s="11" t="n"/>
      <c r="E13" s="11" t="n"/>
      <c r="F13" s="11" t="n"/>
      <c r="G13" s="11" t="n"/>
      <c r="H13" s="11" t="n"/>
      <c r="I13" s="11" t="n"/>
      <c r="J13" s="11" t="n"/>
    </row>
    <row r="14" ht="22" customHeight="1">
      <c r="B14" s="15">
        <f>IF(C14="","SST-"&amp;TEXT(COUNTA($C$5:C14),"000"))</f>
        <v/>
      </c>
      <c r="C14" s="29" t="n"/>
      <c r="D14" s="13" t="n"/>
      <c r="E14" s="13" t="n"/>
      <c r="F14" s="13" t="n"/>
      <c r="G14" s="13" t="n"/>
      <c r="H14" s="13" t="n"/>
      <c r="I14" s="13" t="n"/>
      <c r="J14" s="13" t="n"/>
    </row>
    <row r="15" ht="22" customHeight="1">
      <c r="B15" s="16">
        <f>IF(C15="","SST-"&amp;TEXT(COUNTA($C$5:C15),"000"))</f>
        <v/>
      </c>
      <c r="C15" s="28" t="n"/>
      <c r="D15" s="11" t="n"/>
      <c r="E15" s="11" t="n"/>
      <c r="F15" s="11" t="n"/>
      <c r="G15" s="11" t="n"/>
      <c r="H15" s="11" t="n"/>
      <c r="I15" s="11" t="n"/>
      <c r="J15" s="11" t="n"/>
    </row>
    <row r="16" ht="22" customHeight="1">
      <c r="B16" s="15">
        <f>IF(C16="","SST-"&amp;TEXT(COUNTA($C$5:C16),"000"))</f>
        <v/>
      </c>
      <c r="C16" s="29" t="n"/>
      <c r="D16" s="13" t="n"/>
      <c r="E16" s="13" t="n"/>
      <c r="F16" s="13" t="n"/>
      <c r="G16" s="13" t="n"/>
      <c r="H16" s="13" t="n"/>
      <c r="I16" s="13" t="n"/>
      <c r="J16" s="13" t="n"/>
    </row>
    <row r="17" ht="22" customHeight="1">
      <c r="B17" s="16">
        <f>IF(C17="","SST-"&amp;TEXT(COUNTA($C$5:C17),"000"))</f>
        <v/>
      </c>
      <c r="C17" s="28" t="n"/>
      <c r="D17" s="11" t="n"/>
      <c r="E17" s="11" t="n"/>
      <c r="F17" s="11" t="n"/>
      <c r="G17" s="11" t="n"/>
      <c r="H17" s="11" t="n"/>
      <c r="I17" s="11" t="n"/>
      <c r="J17" s="11" t="n"/>
    </row>
    <row r="18" ht="22" customHeight="1">
      <c r="B18" s="15">
        <f>IF(C18="","SST-"&amp;TEXT(COUNTA($C$5:C18),"000"))</f>
        <v/>
      </c>
      <c r="C18" s="29" t="n"/>
      <c r="D18" s="13" t="n"/>
      <c r="E18" s="13" t="n"/>
      <c r="F18" s="13" t="n"/>
      <c r="G18" s="13" t="n"/>
      <c r="H18" s="13" t="n"/>
      <c r="I18" s="13" t="n"/>
      <c r="J18" s="13" t="n"/>
    </row>
    <row r="19" ht="22" customHeight="1">
      <c r="B19" s="16">
        <f>IF(C19="","SST-"&amp;TEXT(COUNTA($C$5:C19),"000"))</f>
        <v/>
      </c>
      <c r="C19" s="28" t="n"/>
      <c r="D19" s="11" t="n"/>
      <c r="E19" s="11" t="n"/>
      <c r="F19" s="11" t="n"/>
      <c r="G19" s="11" t="n"/>
      <c r="H19" s="11" t="n"/>
      <c r="I19" s="11" t="n"/>
      <c r="J19" s="11" t="n"/>
    </row>
    <row r="20" ht="22" customHeight="1">
      <c r="B20" s="15">
        <f>IF(C20="","SST-"&amp;TEXT(COUNTA($C$5:C20),"000"))</f>
        <v/>
      </c>
      <c r="C20" s="29" t="n"/>
      <c r="D20" s="13" t="n"/>
      <c r="E20" s="13" t="n"/>
      <c r="F20" s="13" t="n"/>
      <c r="G20" s="13" t="n"/>
      <c r="H20" s="13" t="n"/>
      <c r="I20" s="13" t="n"/>
      <c r="J20" s="13" t="n"/>
    </row>
    <row r="21" ht="22" customHeight="1">
      <c r="B21" s="16">
        <f>IF(C21="","SST-"&amp;TEXT(COUNTA($C$5:C21),"000"))</f>
        <v/>
      </c>
      <c r="C21" s="28" t="n"/>
      <c r="D21" s="11" t="n"/>
      <c r="E21" s="11" t="n"/>
      <c r="F21" s="11" t="n"/>
      <c r="G21" s="11" t="n"/>
      <c r="H21" s="11" t="n"/>
      <c r="I21" s="11" t="n"/>
      <c r="J21" s="11" t="n"/>
    </row>
    <row r="22" ht="22" customHeight="1">
      <c r="B22" s="15">
        <f>IF(C22="","SST-"&amp;TEXT(COUNTA($C$5:C22),"000"))</f>
        <v/>
      </c>
      <c r="C22" s="29" t="n"/>
      <c r="D22" s="13" t="n"/>
      <c r="E22" s="13" t="n"/>
      <c r="F22" s="13" t="n"/>
      <c r="G22" s="13" t="n"/>
      <c r="H22" s="13" t="n"/>
      <c r="I22" s="13" t="n"/>
      <c r="J22" s="13" t="n"/>
    </row>
    <row r="23" ht="22" customHeight="1">
      <c r="B23" s="16">
        <f>IF(C23="","SST-"&amp;TEXT(COUNTA($C$5:C23),"000"))</f>
        <v/>
      </c>
      <c r="C23" s="28" t="n"/>
      <c r="D23" s="11" t="n"/>
      <c r="E23" s="11" t="n"/>
      <c r="F23" s="11" t="n"/>
      <c r="G23" s="11" t="n"/>
      <c r="H23" s="11" t="n"/>
      <c r="I23" s="11" t="n"/>
      <c r="J23" s="11" t="n"/>
    </row>
    <row r="24" ht="22" customHeight="1">
      <c r="B24" s="15">
        <f>IF(C24="","SST-"&amp;TEXT(COUNTA($C$5:C24),"000"))</f>
        <v/>
      </c>
      <c r="C24" s="29" t="n"/>
      <c r="D24" s="13" t="n"/>
      <c r="E24" s="13" t="n"/>
      <c r="F24" s="13" t="n"/>
      <c r="G24" s="13" t="n"/>
      <c r="H24" s="13" t="n"/>
      <c r="I24" s="13" t="n"/>
      <c r="J24" s="13" t="n"/>
    </row>
    <row r="25" ht="22" customHeight="1">
      <c r="B25" s="16">
        <f>IF(C25="","SST-"&amp;TEXT(COUNTA($C$5:C25),"000"))</f>
        <v/>
      </c>
      <c r="C25" s="28" t="n"/>
      <c r="D25" s="11" t="n"/>
      <c r="E25" s="11" t="n"/>
      <c r="F25" s="11" t="n"/>
      <c r="G25" s="11" t="n"/>
      <c r="H25" s="11" t="n"/>
      <c r="I25" s="11" t="n"/>
      <c r="J25" s="11" t="n"/>
    </row>
    <row r="26" ht="22" customHeight="1">
      <c r="B26" s="15">
        <f>IF(C26="","SST-"&amp;TEXT(COUNTA($C$5:C26),"000"))</f>
        <v/>
      </c>
      <c r="C26" s="29" t="n"/>
      <c r="D26" s="13" t="n"/>
      <c r="E26" s="13" t="n"/>
      <c r="F26" s="13" t="n"/>
      <c r="G26" s="13" t="n"/>
      <c r="H26" s="13" t="n"/>
      <c r="I26" s="13" t="n"/>
      <c r="J26" s="13" t="n"/>
    </row>
    <row r="27" ht="22" customHeight="1">
      <c r="B27" s="16">
        <f>IF(C27="","SST-"&amp;TEXT(COUNTA($C$5:C27),"000"))</f>
        <v/>
      </c>
      <c r="C27" s="28" t="n"/>
      <c r="D27" s="11" t="n"/>
      <c r="E27" s="11" t="n"/>
      <c r="F27" s="11" t="n"/>
      <c r="G27" s="11" t="n"/>
      <c r="H27" s="11" t="n"/>
      <c r="I27" s="11" t="n"/>
      <c r="J27" s="11" t="n"/>
    </row>
    <row r="28" ht="22" customHeight="1">
      <c r="B28" s="15">
        <f>IF(C28="","SST-"&amp;TEXT(COUNTA($C$5:C28),"000"))</f>
        <v/>
      </c>
      <c r="C28" s="29" t="n"/>
      <c r="D28" s="13" t="n"/>
      <c r="E28" s="13" t="n"/>
      <c r="F28" s="13" t="n"/>
      <c r="G28" s="13" t="n"/>
      <c r="H28" s="13" t="n"/>
      <c r="I28" s="13" t="n"/>
      <c r="J28" s="13" t="n"/>
    </row>
    <row r="29" ht="22" customHeight="1">
      <c r="B29" s="16">
        <f>IF(C29="","SST-"&amp;TEXT(COUNTA($C$5:C29),"000"))</f>
        <v/>
      </c>
      <c r="C29" s="28" t="n"/>
      <c r="D29" s="11" t="n"/>
      <c r="E29" s="11" t="n"/>
      <c r="F29" s="11" t="n"/>
      <c r="G29" s="11" t="n"/>
      <c r="H29" s="11" t="n"/>
      <c r="I29" s="11" t="n"/>
      <c r="J29" s="11" t="n"/>
    </row>
    <row r="30" ht="22" customHeight="1">
      <c r="B30" s="15">
        <f>IF(C30="","SST-"&amp;TEXT(COUNTA($C$5:C30),"000"))</f>
        <v/>
      </c>
      <c r="C30" s="29" t="n"/>
      <c r="D30" s="13" t="n"/>
      <c r="E30" s="13" t="n"/>
      <c r="F30" s="13" t="n"/>
      <c r="G30" s="13" t="n"/>
      <c r="H30" s="13" t="n"/>
      <c r="I30" s="13" t="n"/>
      <c r="J30" s="13" t="n"/>
    </row>
    <row r="31" ht="22" customHeight="1">
      <c r="B31" s="16">
        <f>IF(C31="","SST-"&amp;TEXT(COUNTA($C$5:C31),"000"))</f>
        <v/>
      </c>
      <c r="C31" s="28" t="n"/>
      <c r="D31" s="11" t="n"/>
      <c r="E31" s="11" t="n"/>
      <c r="F31" s="11" t="n"/>
      <c r="G31" s="11" t="n"/>
      <c r="H31" s="11" t="n"/>
      <c r="I31" s="11" t="n"/>
      <c r="J31" s="11" t="n"/>
    </row>
    <row r="32" ht="22" customHeight="1">
      <c r="B32" s="15">
        <f>IF(C32="","SST-"&amp;TEXT(COUNTA($C$5:C32),"000"))</f>
        <v/>
      </c>
      <c r="C32" s="29" t="n"/>
      <c r="D32" s="13" t="n"/>
      <c r="E32" s="13" t="n"/>
      <c r="F32" s="13" t="n"/>
      <c r="G32" s="13" t="n"/>
      <c r="H32" s="13" t="n"/>
      <c r="I32" s="13" t="n"/>
      <c r="J32" s="13" t="n"/>
    </row>
    <row r="33" ht="22" customHeight="1">
      <c r="B33" s="16">
        <f>IF(C33="","SST-"&amp;TEXT(COUNTA($C$5:C33),"000"))</f>
        <v/>
      </c>
      <c r="C33" s="28" t="n"/>
      <c r="D33" s="11" t="n"/>
      <c r="E33" s="11" t="n"/>
      <c r="F33" s="11" t="n"/>
      <c r="G33" s="11" t="n"/>
      <c r="H33" s="11" t="n"/>
      <c r="I33" s="11" t="n"/>
      <c r="J33" s="11" t="n"/>
    </row>
    <row r="34" ht="22" customHeight="1">
      <c r="B34" s="15">
        <f>IF(C34="","SST-"&amp;TEXT(COUNTA($C$5:C34),"000"))</f>
        <v/>
      </c>
      <c r="C34" s="29" t="n"/>
      <c r="D34" s="13" t="n"/>
      <c r="E34" s="13" t="n"/>
      <c r="F34" s="13" t="n"/>
      <c r="G34" s="13" t="n"/>
      <c r="H34" s="13" t="n"/>
      <c r="I34" s="13" t="n"/>
      <c r="J34" s="13" t="n"/>
    </row>
    <row r="35" ht="22" customHeight="1">
      <c r="B35" s="16">
        <f>IF(C35="","SST-"&amp;TEXT(COUNTA($C$5:C35),"000"))</f>
        <v/>
      </c>
      <c r="C35" s="28" t="n"/>
      <c r="D35" s="11" t="n"/>
      <c r="E35" s="11" t="n"/>
      <c r="F35" s="11" t="n"/>
      <c r="G35" s="11" t="n"/>
      <c r="H35" s="11" t="n"/>
      <c r="I35" s="11" t="n"/>
      <c r="J35" s="11" t="n"/>
    </row>
    <row r="36" ht="22" customHeight="1">
      <c r="B36" s="15">
        <f>IF(C36="","SST-"&amp;TEXT(COUNTA($C$5:C36),"000"))</f>
        <v/>
      </c>
      <c r="C36" s="29" t="n"/>
      <c r="D36" s="13" t="n"/>
      <c r="E36" s="13" t="n"/>
      <c r="F36" s="13" t="n"/>
      <c r="G36" s="13" t="n"/>
      <c r="H36" s="13" t="n"/>
      <c r="I36" s="13" t="n"/>
      <c r="J36" s="13" t="n"/>
    </row>
    <row r="37" ht="22" customHeight="1">
      <c r="B37" s="16">
        <f>IF(C37="","SST-"&amp;TEXT(COUNTA($C$5:C37),"000"))</f>
        <v/>
      </c>
      <c r="C37" s="28" t="n"/>
      <c r="D37" s="11" t="n"/>
      <c r="E37" s="11" t="n"/>
      <c r="F37" s="11" t="n"/>
      <c r="G37" s="11" t="n"/>
      <c r="H37" s="11" t="n"/>
      <c r="I37" s="11" t="n"/>
      <c r="J37" s="11" t="n"/>
    </row>
    <row r="38" ht="22" customHeight="1">
      <c r="B38" s="15">
        <f>IF(C38="","SST-"&amp;TEXT(COUNTA($C$5:C38),"000"))</f>
        <v/>
      </c>
      <c r="C38" s="29" t="n"/>
      <c r="D38" s="13" t="n"/>
      <c r="E38" s="13" t="n"/>
      <c r="F38" s="13" t="n"/>
      <c r="G38" s="13" t="n"/>
      <c r="H38" s="13" t="n"/>
      <c r="I38" s="13" t="n"/>
      <c r="J38" s="13" t="n"/>
    </row>
    <row r="39" ht="22" customHeight="1">
      <c r="B39" s="16">
        <f>IF(C39="","SST-"&amp;TEXT(COUNTA($C$5:C39),"000"))</f>
        <v/>
      </c>
      <c r="C39" s="28" t="n"/>
      <c r="D39" s="11" t="n"/>
      <c r="E39" s="11" t="n"/>
      <c r="F39" s="11" t="n"/>
      <c r="G39" s="11" t="n"/>
      <c r="H39" s="11" t="n"/>
      <c r="I39" s="11" t="n"/>
      <c r="J39" s="11" t="n"/>
    </row>
    <row r="40" ht="22" customHeight="1">
      <c r="B40" s="15">
        <f>IF(C40="","SST-"&amp;TEXT(COUNTA($C$5:C40),"000"))</f>
        <v/>
      </c>
      <c r="C40" s="29" t="n"/>
      <c r="D40" s="13" t="n"/>
      <c r="E40" s="13" t="n"/>
      <c r="F40" s="13" t="n"/>
      <c r="G40" s="13" t="n"/>
      <c r="H40" s="13" t="n"/>
      <c r="I40" s="13" t="n"/>
      <c r="J40" s="13" t="n"/>
    </row>
    <row r="41" ht="22" customHeight="1">
      <c r="B41" s="16">
        <f>IF(C41="","SST-"&amp;TEXT(COUNTA($C$5:C41),"000"))</f>
        <v/>
      </c>
      <c r="C41" s="28" t="n"/>
      <c r="D41" s="11" t="n"/>
      <c r="E41" s="11" t="n"/>
      <c r="F41" s="11" t="n"/>
      <c r="G41" s="11" t="n"/>
      <c r="H41" s="11" t="n"/>
      <c r="I41" s="11" t="n"/>
      <c r="J41" s="11" t="n"/>
    </row>
    <row r="42" ht="22" customHeight="1">
      <c r="B42" s="15">
        <f>IF(C42="","SST-"&amp;TEXT(COUNTA($C$5:C42),"000"))</f>
        <v/>
      </c>
      <c r="C42" s="29" t="n"/>
      <c r="D42" s="13" t="n"/>
      <c r="E42" s="13" t="n"/>
      <c r="F42" s="13" t="n"/>
      <c r="G42" s="13" t="n"/>
      <c r="H42" s="13" t="n"/>
      <c r="I42" s="13" t="n"/>
      <c r="J42" s="13" t="n"/>
    </row>
    <row r="43" ht="22" customHeight="1">
      <c r="B43" s="16">
        <f>IF(C43="","SST-"&amp;TEXT(COUNTA($C$5:C43),"000"))</f>
        <v/>
      </c>
      <c r="C43" s="28" t="n"/>
      <c r="D43" s="11" t="n"/>
      <c r="E43" s="11" t="n"/>
      <c r="F43" s="11" t="n"/>
      <c r="G43" s="11" t="n"/>
      <c r="H43" s="11" t="n"/>
      <c r="I43" s="11" t="n"/>
      <c r="J43" s="11" t="n"/>
    </row>
    <row r="44" ht="22" customHeight="1">
      <c r="B44" s="15">
        <f>IF(C44="","SST-"&amp;TEXT(COUNTA($C$5:C44),"000"))</f>
        <v/>
      </c>
      <c r="C44" s="29" t="n"/>
      <c r="D44" s="13" t="n"/>
      <c r="E44" s="13" t="n"/>
      <c r="F44" s="13" t="n"/>
      <c r="G44" s="13" t="n"/>
      <c r="H44" s="13" t="n"/>
      <c r="I44" s="13" t="n"/>
      <c r="J44" s="13" t="n"/>
    </row>
    <row r="45" ht="22" customHeight="1">
      <c r="B45" s="16">
        <f>IF(C45="","SST-"&amp;TEXT(COUNTA($C$5:C45),"000"))</f>
        <v/>
      </c>
      <c r="C45" s="28" t="n"/>
      <c r="D45" s="11" t="n"/>
      <c r="E45" s="11" t="n"/>
      <c r="F45" s="11" t="n"/>
      <c r="G45" s="11" t="n"/>
      <c r="H45" s="11" t="n"/>
      <c r="I45" s="11" t="n"/>
      <c r="J45" s="11" t="n"/>
    </row>
    <row r="46" ht="22" customHeight="1">
      <c r="B46" s="15">
        <f>IF(C46="","SST-"&amp;TEXT(COUNTA($C$5:C46),"000"))</f>
        <v/>
      </c>
      <c r="C46" s="29" t="n"/>
      <c r="D46" s="13" t="n"/>
      <c r="E46" s="13" t="n"/>
      <c r="F46" s="13" t="n"/>
      <c r="G46" s="13" t="n"/>
      <c r="H46" s="13" t="n"/>
      <c r="I46" s="13" t="n"/>
      <c r="J46" s="13" t="n"/>
    </row>
    <row r="47" ht="22" customHeight="1">
      <c r="B47" s="16">
        <f>IF(C47="","SST-"&amp;TEXT(COUNTA($C$5:C47),"000"))</f>
        <v/>
      </c>
      <c r="C47" s="28" t="n"/>
      <c r="D47" s="11" t="n"/>
      <c r="E47" s="11" t="n"/>
      <c r="F47" s="11" t="n"/>
      <c r="G47" s="11" t="n"/>
      <c r="H47" s="11" t="n"/>
      <c r="I47" s="11" t="n"/>
      <c r="J47" s="11" t="n"/>
    </row>
    <row r="48" ht="22" customHeight="1">
      <c r="B48" s="15">
        <f>IF(C48="","SST-"&amp;TEXT(COUNTA($C$5:C48),"000"))</f>
        <v/>
      </c>
      <c r="C48" s="29" t="n"/>
      <c r="D48" s="13" t="n"/>
      <c r="E48" s="13" t="n"/>
      <c r="F48" s="13" t="n"/>
      <c r="G48" s="13" t="n"/>
      <c r="H48" s="13" t="n"/>
      <c r="I48" s="13" t="n"/>
      <c r="J48" s="13" t="n"/>
    </row>
    <row r="49" ht="22" customHeight="1">
      <c r="B49" s="16">
        <f>IF(C49="","SST-"&amp;TEXT(COUNTA($C$5:C49),"000"))</f>
        <v/>
      </c>
      <c r="C49" s="28" t="n"/>
      <c r="D49" s="11" t="n"/>
      <c r="E49" s="11" t="n"/>
      <c r="F49" s="11" t="n"/>
      <c r="G49" s="11" t="n"/>
      <c r="H49" s="11" t="n"/>
      <c r="I49" s="11" t="n"/>
      <c r="J49" s="11" t="n"/>
    </row>
    <row r="50" ht="22" customHeight="1">
      <c r="B50" s="15">
        <f>IF(C50="","SST-"&amp;TEXT(COUNTA($C$5:C50),"000"))</f>
        <v/>
      </c>
      <c r="C50" s="29" t="n"/>
      <c r="D50" s="13" t="n"/>
      <c r="E50" s="13" t="n"/>
      <c r="F50" s="13" t="n"/>
      <c r="G50" s="13" t="n"/>
      <c r="H50" s="13" t="n"/>
      <c r="I50" s="13" t="n"/>
      <c r="J50" s="13" t="n"/>
    </row>
    <row r="51" ht="22" customHeight="1">
      <c r="B51" s="16">
        <f>IF(C51="","SST-"&amp;TEXT(COUNTA($C$5:C51),"000"))</f>
        <v/>
      </c>
      <c r="C51" s="28" t="n"/>
      <c r="D51" s="11" t="n"/>
      <c r="E51" s="11" t="n"/>
      <c r="F51" s="11" t="n"/>
      <c r="G51" s="11" t="n"/>
      <c r="H51" s="11" t="n"/>
      <c r="I51" s="11" t="n"/>
      <c r="J51" s="11" t="n"/>
    </row>
    <row r="52" ht="22" customHeight="1">
      <c r="B52" s="15">
        <f>IF(C52="","SST-"&amp;TEXT(COUNTA($C$5:C52),"000"))</f>
        <v/>
      </c>
      <c r="C52" s="29" t="n"/>
      <c r="D52" s="13" t="n"/>
      <c r="E52" s="13" t="n"/>
      <c r="F52" s="13" t="n"/>
      <c r="G52" s="13" t="n"/>
      <c r="H52" s="13" t="n"/>
      <c r="I52" s="13" t="n"/>
      <c r="J52" s="13" t="n"/>
    </row>
    <row r="53" ht="22" customHeight="1">
      <c r="B53" s="16">
        <f>IF(C53="","SST-"&amp;TEXT(COUNTA($C$5:C53),"000"))</f>
        <v/>
      </c>
      <c r="C53" s="28" t="n"/>
      <c r="D53" s="11" t="n"/>
      <c r="E53" s="11" t="n"/>
      <c r="F53" s="11" t="n"/>
      <c r="G53" s="11" t="n"/>
      <c r="H53" s="11" t="n"/>
      <c r="I53" s="11" t="n"/>
      <c r="J53" s="11" t="n"/>
    </row>
    <row r="54" ht="22" customHeight="1">
      <c r="B54" s="15">
        <f>IF(C54="","SST-"&amp;TEXT(COUNTA($C$5:C54),"000"))</f>
        <v/>
      </c>
      <c r="C54" s="29" t="n"/>
      <c r="D54" s="13" t="n"/>
      <c r="E54" s="13" t="n"/>
      <c r="F54" s="13" t="n"/>
      <c r="G54" s="13" t="n"/>
      <c r="H54" s="13" t="n"/>
      <c r="I54" s="13" t="n"/>
      <c r="J54" s="13" t="n"/>
    </row>
    <row r="55" ht="22" customHeight="1">
      <c r="B55" s="16">
        <f>IF(C55="","SST-"&amp;TEXT(COUNTA($C$5:C55),"000"))</f>
        <v/>
      </c>
      <c r="C55" s="28" t="n"/>
      <c r="D55" s="11" t="n"/>
      <c r="E55" s="11" t="n"/>
      <c r="F55" s="11" t="n"/>
      <c r="G55" s="11" t="n"/>
      <c r="H55" s="11" t="n"/>
      <c r="I55" s="11" t="n"/>
      <c r="J55" s="11" t="n"/>
    </row>
    <row r="56" ht="22" customHeight="1">
      <c r="B56" s="15">
        <f>IF(C56="","SST-"&amp;TEXT(COUNTA($C$5:C56),"000"))</f>
        <v/>
      </c>
      <c r="C56" s="29" t="n"/>
      <c r="D56" s="13" t="n"/>
      <c r="E56" s="13" t="n"/>
      <c r="F56" s="13" t="n"/>
      <c r="G56" s="13" t="n"/>
      <c r="H56" s="13" t="n"/>
      <c r="I56" s="13" t="n"/>
      <c r="J56" s="13" t="n"/>
    </row>
    <row r="57" ht="22" customHeight="1">
      <c r="B57" s="16">
        <f>IF(C57="","SST-"&amp;TEXT(COUNTA($C$5:C57),"000"))</f>
        <v/>
      </c>
      <c r="C57" s="28" t="n"/>
      <c r="D57" s="11" t="n"/>
      <c r="E57" s="11" t="n"/>
      <c r="F57" s="11" t="n"/>
      <c r="G57" s="11" t="n"/>
      <c r="H57" s="11" t="n"/>
      <c r="I57" s="11" t="n"/>
      <c r="J57" s="11" t="n"/>
    </row>
    <row r="58" ht="22" customHeight="1">
      <c r="B58" s="15">
        <f>IF(C58="","SST-"&amp;TEXT(COUNTA($C$5:C58),"000"))</f>
        <v/>
      </c>
      <c r="C58" s="29" t="n"/>
      <c r="D58" s="13" t="n"/>
      <c r="E58" s="13" t="n"/>
      <c r="F58" s="13" t="n"/>
      <c r="G58" s="13" t="n"/>
      <c r="H58" s="13" t="n"/>
      <c r="I58" s="13" t="n"/>
      <c r="J58" s="13" t="n"/>
    </row>
    <row r="59" ht="22" customHeight="1">
      <c r="B59" s="16">
        <f>IF(C59="","SST-"&amp;TEXT(COUNTA($C$5:C59),"000"))</f>
        <v/>
      </c>
      <c r="C59" s="28" t="n"/>
      <c r="D59" s="11" t="n"/>
      <c r="E59" s="11" t="n"/>
      <c r="F59" s="11" t="n"/>
      <c r="G59" s="11" t="n"/>
      <c r="H59" s="11" t="n"/>
      <c r="I59" s="11" t="n"/>
      <c r="J59" s="11" t="n"/>
    </row>
    <row r="60" ht="22" customHeight="1">
      <c r="B60" s="15">
        <f>IF(C60="","SST-"&amp;TEXT(COUNTA($C$5:C60),"000"))</f>
        <v/>
      </c>
      <c r="C60" s="29" t="n"/>
      <c r="D60" s="13" t="n"/>
      <c r="E60" s="13" t="n"/>
      <c r="F60" s="13" t="n"/>
      <c r="G60" s="13" t="n"/>
      <c r="H60" s="13" t="n"/>
      <c r="I60" s="13" t="n"/>
      <c r="J60" s="13" t="n"/>
    </row>
    <row r="61" ht="22" customHeight="1">
      <c r="B61" s="16">
        <f>IF(C61="","SST-"&amp;TEXT(COUNTA($C$5:C61),"000"))</f>
        <v/>
      </c>
      <c r="C61" s="28" t="n"/>
      <c r="D61" s="11" t="n"/>
      <c r="E61" s="11" t="n"/>
      <c r="F61" s="11" t="n"/>
      <c r="G61" s="11" t="n"/>
      <c r="H61" s="11" t="n"/>
      <c r="I61" s="11" t="n"/>
      <c r="J61" s="11" t="n"/>
    </row>
    <row r="62" ht="22" customHeight="1">
      <c r="B62" s="15">
        <f>IF(C62="","SST-"&amp;TEXT(COUNTA($C$5:C62),"000"))</f>
        <v/>
      </c>
      <c r="C62" s="29" t="n"/>
      <c r="D62" s="13" t="n"/>
      <c r="E62" s="13" t="n"/>
      <c r="F62" s="13" t="n"/>
      <c r="G62" s="13" t="n"/>
      <c r="H62" s="13" t="n"/>
      <c r="I62" s="13" t="n"/>
      <c r="J62" s="13" t="n"/>
    </row>
    <row r="63" ht="22" customHeight="1">
      <c r="B63" s="16">
        <f>IF(C63="","SST-"&amp;TEXT(COUNTA($C$5:C63),"000"))</f>
        <v/>
      </c>
      <c r="C63" s="28" t="n"/>
      <c r="D63" s="11" t="n"/>
      <c r="E63" s="11" t="n"/>
      <c r="F63" s="11" t="n"/>
      <c r="G63" s="11" t="n"/>
      <c r="H63" s="11" t="n"/>
      <c r="I63" s="11" t="n"/>
      <c r="J63" s="11" t="n"/>
    </row>
    <row r="64" ht="22" customHeight="1">
      <c r="B64" s="15">
        <f>IF(C64="","SST-"&amp;TEXT(COUNTA($C$5:C64),"000"))</f>
        <v/>
      </c>
      <c r="C64" s="29" t="n"/>
      <c r="D64" s="13" t="n"/>
      <c r="E64" s="13" t="n"/>
      <c r="F64" s="13" t="n"/>
      <c r="G64" s="13" t="n"/>
      <c r="H64" s="13" t="n"/>
      <c r="I64" s="13" t="n"/>
      <c r="J64" s="13" t="n"/>
    </row>
    <row r="65" ht="22" customHeight="1">
      <c r="B65" s="16">
        <f>IF(C65="","SST-"&amp;TEXT(COUNTA($C$5:C65),"000"))</f>
        <v/>
      </c>
      <c r="C65" s="28" t="n"/>
      <c r="D65" s="11" t="n"/>
      <c r="E65" s="11" t="n"/>
      <c r="F65" s="11" t="n"/>
      <c r="G65" s="11" t="n"/>
      <c r="H65" s="11" t="n"/>
      <c r="I65" s="11" t="n"/>
      <c r="J65" s="11" t="n"/>
    </row>
    <row r="66" ht="22" customHeight="1">
      <c r="B66" s="15">
        <f>IF(C66="","SST-"&amp;TEXT(COUNTA($C$5:C66),"000"))</f>
        <v/>
      </c>
      <c r="C66" s="29" t="n"/>
      <c r="D66" s="13" t="n"/>
      <c r="E66" s="13" t="n"/>
      <c r="F66" s="13" t="n"/>
      <c r="G66" s="13" t="n"/>
      <c r="H66" s="13" t="n"/>
      <c r="I66" s="13" t="n"/>
      <c r="J66" s="13" t="n"/>
    </row>
    <row r="67" ht="22" customHeight="1">
      <c r="B67" s="16">
        <f>IF(C67="","SST-"&amp;TEXT(COUNTA($C$5:C67),"000"))</f>
        <v/>
      </c>
      <c r="C67" s="28" t="n"/>
      <c r="D67" s="11" t="n"/>
      <c r="E67" s="11" t="n"/>
      <c r="F67" s="11" t="n"/>
      <c r="G67" s="11" t="n"/>
      <c r="H67" s="11" t="n"/>
      <c r="I67" s="11" t="n"/>
      <c r="J67" s="11" t="n"/>
    </row>
    <row r="68" ht="22" customHeight="1">
      <c r="B68" s="15">
        <f>IF(C68="","SST-"&amp;TEXT(COUNTA($C$5:C68),"000"))</f>
        <v/>
      </c>
      <c r="C68" s="29" t="n"/>
      <c r="D68" s="13" t="n"/>
      <c r="E68" s="13" t="n"/>
      <c r="F68" s="13" t="n"/>
      <c r="G68" s="13" t="n"/>
      <c r="H68" s="13" t="n"/>
      <c r="I68" s="13" t="n"/>
      <c r="J68" s="13" t="n"/>
    </row>
    <row r="69" ht="22" customHeight="1">
      <c r="B69" s="16">
        <f>IF(C69="","SST-"&amp;TEXT(COUNTA($C$5:C69),"000"))</f>
        <v/>
      </c>
      <c r="C69" s="28" t="n"/>
      <c r="D69" s="11" t="n"/>
      <c r="E69" s="11" t="n"/>
      <c r="F69" s="11" t="n"/>
      <c r="G69" s="11" t="n"/>
      <c r="H69" s="11" t="n"/>
      <c r="I69" s="11" t="n"/>
      <c r="J69" s="11" t="n"/>
    </row>
    <row r="70" ht="22" customHeight="1">
      <c r="B70" s="15">
        <f>IF(C70="","SST-"&amp;TEXT(COUNTA($C$5:C70),"000"))</f>
        <v/>
      </c>
      <c r="C70" s="29" t="n"/>
      <c r="D70" s="13" t="n"/>
      <c r="E70" s="13" t="n"/>
      <c r="F70" s="13" t="n"/>
      <c r="G70" s="13" t="n"/>
      <c r="H70" s="13" t="n"/>
      <c r="I70" s="13" t="n"/>
      <c r="J70" s="13" t="n"/>
    </row>
    <row r="71" ht="22" customHeight="1">
      <c r="B71" s="16">
        <f>IF(C71="","SST-"&amp;TEXT(COUNTA($C$5:C71),"000"))</f>
        <v/>
      </c>
      <c r="C71" s="28" t="n"/>
      <c r="D71" s="11" t="n"/>
      <c r="E71" s="11" t="n"/>
      <c r="F71" s="11" t="n"/>
      <c r="G71" s="11" t="n"/>
      <c r="H71" s="11" t="n"/>
      <c r="I71" s="11" t="n"/>
      <c r="J71" s="11" t="n"/>
    </row>
    <row r="72" ht="22" customHeight="1">
      <c r="B72" s="15">
        <f>IF(C72="","SST-"&amp;TEXT(COUNTA($C$5:C72),"000"))</f>
        <v/>
      </c>
      <c r="C72" s="29" t="n"/>
      <c r="D72" s="13" t="n"/>
      <c r="E72" s="13" t="n"/>
      <c r="F72" s="13" t="n"/>
      <c r="G72" s="13" t="n"/>
      <c r="H72" s="13" t="n"/>
      <c r="I72" s="13" t="n"/>
      <c r="J72" s="13" t="n"/>
    </row>
    <row r="73" ht="22" customHeight="1">
      <c r="B73" s="16">
        <f>IF(C73="","SST-"&amp;TEXT(COUNTA($C$5:C73),"000"))</f>
        <v/>
      </c>
      <c r="C73" s="28" t="n"/>
      <c r="D73" s="11" t="n"/>
      <c r="E73" s="11" t="n"/>
      <c r="F73" s="11" t="n"/>
      <c r="G73" s="11" t="n"/>
      <c r="H73" s="11" t="n"/>
      <c r="I73" s="11" t="n"/>
      <c r="J73" s="11" t="n"/>
    </row>
    <row r="74" ht="22" customHeight="1">
      <c r="B74" s="15">
        <f>IF(C74="","SST-"&amp;TEXT(COUNTA($C$5:C74),"000"))</f>
        <v/>
      </c>
      <c r="C74" s="29" t="n"/>
      <c r="D74" s="13" t="n"/>
      <c r="E74" s="13" t="n"/>
      <c r="F74" s="13" t="n"/>
      <c r="G74" s="13" t="n"/>
      <c r="H74" s="13" t="n"/>
      <c r="I74" s="13" t="n"/>
      <c r="J74" s="13" t="n"/>
    </row>
    <row r="75" ht="22" customHeight="1">
      <c r="B75" s="16">
        <f>IF(C75="","SST-"&amp;TEXT(COUNTA($C$5:C75),"000"))</f>
        <v/>
      </c>
      <c r="C75" s="28" t="n"/>
      <c r="D75" s="11" t="n"/>
      <c r="E75" s="11" t="n"/>
      <c r="F75" s="11" t="n"/>
      <c r="G75" s="11" t="n"/>
      <c r="H75" s="11" t="n"/>
      <c r="I75" s="11" t="n"/>
      <c r="J75" s="11" t="n"/>
    </row>
    <row r="76" ht="22" customHeight="1">
      <c r="B76" s="15">
        <f>IF(C76="","SST-"&amp;TEXT(COUNTA($C$5:C76),"000"))</f>
        <v/>
      </c>
      <c r="C76" s="29" t="n"/>
      <c r="D76" s="13" t="n"/>
      <c r="E76" s="13" t="n"/>
      <c r="F76" s="13" t="n"/>
      <c r="G76" s="13" t="n"/>
      <c r="H76" s="13" t="n"/>
      <c r="I76" s="13" t="n"/>
      <c r="J76" s="13" t="n"/>
    </row>
    <row r="77" ht="22" customHeight="1">
      <c r="B77" s="16">
        <f>IF(C77="","SST-"&amp;TEXT(COUNTA($C$5:C77),"000"))</f>
        <v/>
      </c>
      <c r="C77" s="28" t="n"/>
      <c r="D77" s="11" t="n"/>
      <c r="E77" s="11" t="n"/>
      <c r="F77" s="11" t="n"/>
      <c r="G77" s="11" t="n"/>
      <c r="H77" s="11" t="n"/>
      <c r="I77" s="11" t="n"/>
      <c r="J77" s="11" t="n"/>
    </row>
    <row r="78" ht="22" customHeight="1">
      <c r="B78" s="15">
        <f>IF(C78="","SST-"&amp;TEXT(COUNTA($C$5:C78),"000"))</f>
        <v/>
      </c>
      <c r="C78" s="29" t="n"/>
      <c r="D78" s="13" t="n"/>
      <c r="E78" s="13" t="n"/>
      <c r="F78" s="13" t="n"/>
      <c r="G78" s="13" t="n"/>
      <c r="H78" s="13" t="n"/>
      <c r="I78" s="13" t="n"/>
      <c r="J78" s="13" t="n"/>
    </row>
    <row r="79" ht="22" customHeight="1">
      <c r="B79" s="16">
        <f>IF(C79="","SST-"&amp;TEXT(COUNTA($C$5:C79),"000"))</f>
        <v/>
      </c>
      <c r="C79" s="28" t="n"/>
      <c r="D79" s="11" t="n"/>
      <c r="E79" s="11" t="n"/>
      <c r="F79" s="11" t="n"/>
      <c r="G79" s="11" t="n"/>
      <c r="H79" s="11" t="n"/>
      <c r="I79" s="11" t="n"/>
      <c r="J79" s="11" t="n"/>
    </row>
    <row r="80" ht="22" customHeight="1">
      <c r="B80" s="15">
        <f>IF(C80="","SST-"&amp;TEXT(COUNTA($C$5:C80),"000"))</f>
        <v/>
      </c>
      <c r="C80" s="29" t="n"/>
      <c r="D80" s="13" t="n"/>
      <c r="E80" s="13" t="n"/>
      <c r="F80" s="13" t="n"/>
      <c r="G80" s="13" t="n"/>
      <c r="H80" s="13" t="n"/>
      <c r="I80" s="13" t="n"/>
      <c r="J80" s="13" t="n"/>
    </row>
    <row r="81" ht="22" customHeight="1">
      <c r="B81" s="16">
        <f>IF(C81="","SST-"&amp;TEXT(COUNTA($C$5:C81),"000"))</f>
        <v/>
      </c>
      <c r="C81" s="28" t="n"/>
      <c r="D81" s="11" t="n"/>
      <c r="E81" s="11" t="n"/>
      <c r="F81" s="11" t="n"/>
      <c r="G81" s="11" t="n"/>
      <c r="H81" s="11" t="n"/>
      <c r="I81" s="11" t="n"/>
      <c r="J81" s="11" t="n"/>
    </row>
    <row r="82" ht="22" customHeight="1">
      <c r="B82" s="15">
        <f>IF(C82="","SST-"&amp;TEXT(COUNTA($C$5:C82),"000"))</f>
        <v/>
      </c>
      <c r="C82" s="29" t="n"/>
      <c r="D82" s="13" t="n"/>
      <c r="E82" s="13" t="n"/>
      <c r="F82" s="13" t="n"/>
      <c r="G82" s="13" t="n"/>
      <c r="H82" s="13" t="n"/>
      <c r="I82" s="13" t="n"/>
      <c r="J82" s="13" t="n"/>
    </row>
    <row r="83" ht="22" customHeight="1">
      <c r="B83" s="16">
        <f>IF(C83="","SST-"&amp;TEXT(COUNTA($C$5:C83),"000"))</f>
        <v/>
      </c>
      <c r="C83" s="28" t="n"/>
      <c r="D83" s="11" t="n"/>
      <c r="E83" s="11" t="n"/>
      <c r="F83" s="11" t="n"/>
      <c r="G83" s="11" t="n"/>
      <c r="H83" s="11" t="n"/>
      <c r="I83" s="11" t="n"/>
      <c r="J83" s="11" t="n"/>
    </row>
    <row r="84" ht="22" customHeight="1">
      <c r="B84" s="15">
        <f>IF(C84="","SST-"&amp;TEXT(COUNTA($C$5:C84),"000"))</f>
        <v/>
      </c>
      <c r="C84" s="29" t="n"/>
      <c r="D84" s="13" t="n"/>
      <c r="E84" s="13" t="n"/>
      <c r="F84" s="13" t="n"/>
      <c r="G84" s="13" t="n"/>
      <c r="H84" s="13" t="n"/>
      <c r="I84" s="13" t="n"/>
      <c r="J84" s="13" t="n"/>
    </row>
    <row r="85" ht="22" customHeight="1">
      <c r="B85" s="16">
        <f>IF(C85="","SST-"&amp;TEXT(COUNTA($C$5:C85),"000"))</f>
        <v/>
      </c>
      <c r="C85" s="28" t="n"/>
      <c r="D85" s="11" t="n"/>
      <c r="E85" s="11" t="n"/>
      <c r="F85" s="11" t="n"/>
      <c r="G85" s="11" t="n"/>
      <c r="H85" s="11" t="n"/>
      <c r="I85" s="11" t="n"/>
      <c r="J85" s="11" t="n"/>
    </row>
    <row r="86" ht="22" customHeight="1">
      <c r="B86" s="15">
        <f>IF(C86="","SST-"&amp;TEXT(COUNTA($C$5:C86),"000"))</f>
        <v/>
      </c>
      <c r="C86" s="29" t="n"/>
      <c r="D86" s="13" t="n"/>
      <c r="E86" s="13" t="n"/>
      <c r="F86" s="13" t="n"/>
      <c r="G86" s="13" t="n"/>
      <c r="H86" s="13" t="n"/>
      <c r="I86" s="13" t="n"/>
      <c r="J86" s="13" t="n"/>
    </row>
    <row r="87" ht="22" customHeight="1">
      <c r="B87" s="16">
        <f>IF(C87="","SST-"&amp;TEXT(COUNTA($C$5:C87),"000"))</f>
        <v/>
      </c>
      <c r="C87" s="28" t="n"/>
      <c r="D87" s="11" t="n"/>
      <c r="E87" s="11" t="n"/>
      <c r="F87" s="11" t="n"/>
      <c r="G87" s="11" t="n"/>
      <c r="H87" s="11" t="n"/>
      <c r="I87" s="11" t="n"/>
      <c r="J87" s="11" t="n"/>
    </row>
    <row r="88" ht="22" customHeight="1">
      <c r="B88" s="15">
        <f>IF(C88="","SST-"&amp;TEXT(COUNTA($C$5:C88),"000"))</f>
        <v/>
      </c>
      <c r="C88" s="29" t="n"/>
      <c r="D88" s="13" t="n"/>
      <c r="E88" s="13" t="n"/>
      <c r="F88" s="13" t="n"/>
      <c r="G88" s="13" t="n"/>
      <c r="H88" s="13" t="n"/>
      <c r="I88" s="13" t="n"/>
      <c r="J88" s="13" t="n"/>
    </row>
    <row r="89" ht="22" customHeight="1">
      <c r="B89" s="16">
        <f>IF(C89="","SST-"&amp;TEXT(COUNTA($C$5:C89),"000"))</f>
        <v/>
      </c>
      <c r="C89" s="28" t="n"/>
      <c r="D89" s="11" t="n"/>
      <c r="E89" s="11" t="n"/>
      <c r="F89" s="11" t="n"/>
      <c r="G89" s="11" t="n"/>
      <c r="H89" s="11" t="n"/>
      <c r="I89" s="11" t="n"/>
      <c r="J89" s="11" t="n"/>
    </row>
    <row r="90" ht="22" customHeight="1">
      <c r="B90" s="15">
        <f>IF(C90="","SST-"&amp;TEXT(COUNTA($C$5:C90),"000"))</f>
        <v/>
      </c>
      <c r="C90" s="29" t="n"/>
      <c r="D90" s="13" t="n"/>
      <c r="E90" s="13" t="n"/>
      <c r="F90" s="13" t="n"/>
      <c r="G90" s="13" t="n"/>
      <c r="H90" s="13" t="n"/>
      <c r="I90" s="13" t="n"/>
      <c r="J90" s="13" t="n"/>
    </row>
    <row r="91" ht="22" customHeight="1">
      <c r="B91" s="16">
        <f>IF(C91="","SST-"&amp;TEXT(COUNTA($C$5:C91),"000"))</f>
        <v/>
      </c>
      <c r="C91" s="28" t="n"/>
      <c r="D91" s="11" t="n"/>
      <c r="E91" s="11" t="n"/>
      <c r="F91" s="11" t="n"/>
      <c r="G91" s="11" t="n"/>
      <c r="H91" s="11" t="n"/>
      <c r="I91" s="11" t="n"/>
      <c r="J91" s="11" t="n"/>
    </row>
    <row r="92" ht="22" customHeight="1">
      <c r="B92" s="15">
        <f>IF(C92="","SST-"&amp;TEXT(COUNTA($C$5:C92),"000"))</f>
        <v/>
      </c>
      <c r="C92" s="29" t="n"/>
      <c r="D92" s="13" t="n"/>
      <c r="E92" s="13" t="n"/>
      <c r="F92" s="13" t="n"/>
      <c r="G92" s="13" t="n"/>
      <c r="H92" s="13" t="n"/>
      <c r="I92" s="13" t="n"/>
      <c r="J92" s="13" t="n"/>
    </row>
    <row r="93" ht="22" customHeight="1">
      <c r="B93" s="16">
        <f>IF(C93="","SST-"&amp;TEXT(COUNTA($C$5:C93),"000"))</f>
        <v/>
      </c>
      <c r="C93" s="28" t="n"/>
      <c r="D93" s="11" t="n"/>
      <c r="E93" s="11" t="n"/>
      <c r="F93" s="11" t="n"/>
      <c r="G93" s="11" t="n"/>
      <c r="H93" s="11" t="n"/>
      <c r="I93" s="11" t="n"/>
      <c r="J93" s="11" t="n"/>
    </row>
    <row r="94" ht="22" customHeight="1">
      <c r="B94" s="15">
        <f>IF(C94="","SST-"&amp;TEXT(COUNTA($C$5:C94),"000"))</f>
        <v/>
      </c>
      <c r="C94" s="29" t="n"/>
      <c r="D94" s="13" t="n"/>
      <c r="E94" s="13" t="n"/>
      <c r="F94" s="13" t="n"/>
      <c r="G94" s="13" t="n"/>
      <c r="H94" s="13" t="n"/>
      <c r="I94" s="13" t="n"/>
      <c r="J94" s="13" t="n"/>
    </row>
    <row r="95" ht="22" customHeight="1">
      <c r="B95" s="16">
        <f>IF(C95="","SST-"&amp;TEXT(COUNTA($C$5:C95),"000"))</f>
        <v/>
      </c>
      <c r="C95" s="28" t="n"/>
      <c r="D95" s="11" t="n"/>
      <c r="E95" s="11" t="n"/>
      <c r="F95" s="11" t="n"/>
      <c r="G95" s="11" t="n"/>
      <c r="H95" s="11" t="n"/>
      <c r="I95" s="11" t="n"/>
      <c r="J95" s="11" t="n"/>
    </row>
    <row r="96" ht="22" customHeight="1">
      <c r="B96" s="15">
        <f>IF(C96="","SST-"&amp;TEXT(COUNTA($C$5:C96),"000"))</f>
        <v/>
      </c>
      <c r="C96" s="29" t="n"/>
      <c r="D96" s="13" t="n"/>
      <c r="E96" s="13" t="n"/>
      <c r="F96" s="13" t="n"/>
      <c r="G96" s="13" t="n"/>
      <c r="H96" s="13" t="n"/>
      <c r="I96" s="13" t="n"/>
      <c r="J96" s="13" t="n"/>
    </row>
    <row r="97" ht="22" customHeight="1">
      <c r="B97" s="16">
        <f>IF(C97="","SST-"&amp;TEXT(COUNTA($C$5:C97),"000"))</f>
        <v/>
      </c>
      <c r="C97" s="28" t="n"/>
      <c r="D97" s="11" t="n"/>
      <c r="E97" s="11" t="n"/>
      <c r="F97" s="11" t="n"/>
      <c r="G97" s="11" t="n"/>
      <c r="H97" s="11" t="n"/>
      <c r="I97" s="11" t="n"/>
      <c r="J97" s="11" t="n"/>
    </row>
    <row r="98" ht="22" customHeight="1">
      <c r="B98" s="15">
        <f>IF(C98="","SST-"&amp;TEXT(COUNTA($C$5:C98),"000"))</f>
        <v/>
      </c>
      <c r="C98" s="29" t="n"/>
      <c r="D98" s="13" t="n"/>
      <c r="E98" s="13" t="n"/>
      <c r="F98" s="13" t="n"/>
      <c r="G98" s="13" t="n"/>
      <c r="H98" s="13" t="n"/>
      <c r="I98" s="13" t="n"/>
      <c r="J98" s="13" t="n"/>
    </row>
    <row r="99" ht="22" customHeight="1">
      <c r="B99" s="16">
        <f>IF(C99="","SST-"&amp;TEXT(COUNTA($C$5:C99),"000"))</f>
        <v/>
      </c>
      <c r="C99" s="28" t="n"/>
      <c r="D99" s="11" t="n"/>
      <c r="E99" s="11" t="n"/>
      <c r="F99" s="11" t="n"/>
      <c r="G99" s="11" t="n"/>
      <c r="H99" s="11" t="n"/>
      <c r="I99" s="11" t="n"/>
      <c r="J99" s="11" t="n"/>
    </row>
    <row r="100" ht="22" customHeight="1">
      <c r="B100" s="15">
        <f>IF(C100="","SST-"&amp;TEXT(COUNTA($C$5:C100),"000"))</f>
        <v/>
      </c>
      <c r="C100" s="29" t="n"/>
      <c r="D100" s="13" t="n"/>
      <c r="E100" s="13" t="n"/>
      <c r="F100" s="13" t="n"/>
      <c r="G100" s="13" t="n"/>
      <c r="H100" s="13" t="n"/>
      <c r="I100" s="13" t="n"/>
      <c r="J100" s="13" t="n"/>
    </row>
    <row r="101" ht="22" customHeight="1">
      <c r="B101" s="16">
        <f>IF(C101="","SST-"&amp;TEXT(COUNTA($C$5:C101),"000"))</f>
        <v/>
      </c>
      <c r="C101" s="28" t="n"/>
      <c r="D101" s="11" t="n"/>
      <c r="E101" s="11" t="n"/>
      <c r="F101" s="11" t="n"/>
      <c r="G101" s="11" t="n"/>
      <c r="H101" s="11" t="n"/>
      <c r="I101" s="11" t="n"/>
      <c r="J101" s="11" t="n"/>
    </row>
    <row r="102" ht="22" customHeight="1">
      <c r="B102" s="15">
        <f>IF(C102="","SST-"&amp;TEXT(COUNTA($C$5:C102),"000"))</f>
        <v/>
      </c>
      <c r="C102" s="29" t="n"/>
      <c r="D102" s="13" t="n"/>
      <c r="E102" s="13" t="n"/>
      <c r="F102" s="13" t="n"/>
      <c r="G102" s="13" t="n"/>
      <c r="H102" s="13" t="n"/>
      <c r="I102" s="13" t="n"/>
      <c r="J102" s="13" t="n"/>
    </row>
    <row r="103" ht="22" customHeight="1">
      <c r="B103" s="16">
        <f>IF(C103="","SST-"&amp;TEXT(COUNTA($C$5:C103),"000"))</f>
        <v/>
      </c>
      <c r="C103" s="28" t="n"/>
      <c r="D103" s="11" t="n"/>
      <c r="E103" s="11" t="n"/>
      <c r="F103" s="11" t="n"/>
      <c r="G103" s="11" t="n"/>
      <c r="H103" s="11" t="n"/>
      <c r="I103" s="11" t="n"/>
      <c r="J103" s="11" t="n"/>
    </row>
    <row r="104" ht="22" customHeight="1">
      <c r="B104" s="15">
        <f>IF(C104="","SST-"&amp;TEXT(COUNTA($C$5:C104),"000"))</f>
        <v/>
      </c>
      <c r="C104" s="29" t="n"/>
      <c r="D104" s="13" t="n"/>
      <c r="E104" s="13" t="n"/>
      <c r="F104" s="13" t="n"/>
      <c r="G104" s="13" t="n"/>
      <c r="H104" s="13" t="n"/>
      <c r="I104" s="13" t="n"/>
      <c r="J104" s="13" t="n"/>
    </row>
    <row r="105" ht="22" customHeight="1">
      <c r="B105" s="16">
        <f>IF(C105="","SST-"&amp;TEXT(COUNTA($C$5:C105),"000"))</f>
        <v/>
      </c>
      <c r="C105" s="28" t="n"/>
      <c r="D105" s="11" t="n"/>
      <c r="E105" s="11" t="n"/>
      <c r="F105" s="11" t="n"/>
      <c r="G105" s="11" t="n"/>
      <c r="H105" s="11" t="n"/>
      <c r="I105" s="11" t="n"/>
      <c r="J105" s="11" t="n"/>
    </row>
    <row r="106" ht="22" customHeight="1">
      <c r="B106" s="15">
        <f>IF(C106="","SST-"&amp;TEXT(COUNTA($C$5:C106),"000"))</f>
        <v/>
      </c>
      <c r="C106" s="29" t="n"/>
      <c r="D106" s="13" t="n"/>
      <c r="E106" s="13" t="n"/>
      <c r="F106" s="13" t="n"/>
      <c r="G106" s="13" t="n"/>
      <c r="H106" s="13" t="n"/>
      <c r="I106" s="13" t="n"/>
      <c r="J106" s="13" t="n"/>
    </row>
    <row r="107" ht="22" customHeight="1">
      <c r="B107" s="16">
        <f>IF(C107="","SST-"&amp;TEXT(COUNTA($C$5:C107),"000"))</f>
        <v/>
      </c>
      <c r="C107" s="28" t="n"/>
      <c r="D107" s="11" t="n"/>
      <c r="E107" s="11" t="n"/>
      <c r="F107" s="11" t="n"/>
      <c r="G107" s="11" t="n"/>
      <c r="H107" s="11" t="n"/>
      <c r="I107" s="11" t="n"/>
      <c r="J107" s="11" t="n"/>
    </row>
    <row r="108" ht="22" customHeight="1">
      <c r="B108" s="15">
        <f>IF(C108="","SST-"&amp;TEXT(COUNTA($C$5:C108),"000"))</f>
        <v/>
      </c>
      <c r="C108" s="29" t="n"/>
      <c r="D108" s="13" t="n"/>
      <c r="E108" s="13" t="n"/>
      <c r="F108" s="13" t="n"/>
      <c r="G108" s="13" t="n"/>
      <c r="H108" s="13" t="n"/>
      <c r="I108" s="13" t="n"/>
      <c r="J108" s="13" t="n"/>
    </row>
    <row r="109" ht="22" customHeight="1">
      <c r="B109" s="16">
        <f>IF(C109="","SST-"&amp;TEXT(COUNTA($C$5:C109),"000"))</f>
        <v/>
      </c>
      <c r="C109" s="28" t="n"/>
      <c r="D109" s="11" t="n"/>
      <c r="E109" s="11" t="n"/>
      <c r="F109" s="11" t="n"/>
      <c r="G109" s="11" t="n"/>
      <c r="H109" s="11" t="n"/>
      <c r="I109" s="11" t="n"/>
      <c r="J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Evenements</t>
        </is>
      </c>
      <c r="D112" s="3" t="inlineStr">
        <is>
          <t>Cuisine</t>
        </is>
      </c>
      <c r="F112" s="3" t="inlineStr">
        <is>
          <t>Entretien</t>
        </is>
      </c>
      <c r="H112" s="3" t="inlineStr">
        <is>
          <t>Reception</t>
        </is>
      </c>
    </row>
    <row r="113">
      <c r="B113" s="4">
        <f>COUNTIF(B5:B104,"&lt;&gt;")</f>
        <v/>
      </c>
      <c r="D113" s="4">
        <f>COUNTIF(G5:G104,"*Cuisine*")</f>
        <v/>
      </c>
      <c r="F113" s="4">
        <f>COUNTIF(G5:G104,"*Entretien*")</f>
        <v/>
      </c>
      <c r="H113" s="4">
        <f>COUNTIF(G5:G104,"*Reception*")</f>
        <v/>
      </c>
    </row>
  </sheetData>
  <mergeCells count="3">
    <mergeCell ref="B3:J3"/>
    <mergeCell ref="B2:J2"/>
    <mergeCell ref="B111:J111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dataValidations count="2">
    <dataValidation sqref="F5:F109" showDropDown="0" showInputMessage="0" showErrorMessage="0" allowBlank="1" errorTitle="Erreur" error="Valeur invalide" promptTitle="Liste" prompt="Choisir dans la liste" type="list">
      <formula1>'_Lists'!$H$2:$H$15</formula1>
    </dataValidation>
    <dataValidation sqref="G5:G109" showDropDown="0" showInputMessage="0" showErrorMessage="0" allowBlank="1" errorTitle="Erreur" error="Valeur invalide" promptTitle="Liste" prompt="Choisir dans la liste" type="list">
      <formula1>'_Lists'!$B$2:$B$14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2" customWidth="1" min="4" max="4"/>
    <col width="24" customWidth="1" min="5" max="5"/>
    <col width="32" customWidth="1" min="6" max="6"/>
    <col width="18" customWidth="1" min="7" max="7"/>
    <col width="18" customWidth="1" min="8" max="8"/>
    <col width="30" customWidth="1" min="9" max="9"/>
    <col width="30" customWidth="1" min="10" max="10"/>
    <col width="16" customWidth="1" min="11" max="11"/>
    <col width="20" customWidth="1" min="12" max="12"/>
  </cols>
  <sheetData>
    <row r="1" ht="15" customHeight="1"/>
    <row r="2" ht="32" customHeight="1">
      <c r="B2" s="1" t="inlineStr">
        <is>
          <t>EVALUATIONS DES RISQUES PROFESSIONNELS (#98)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Poste / Zone</t>
        </is>
      </c>
      <c r="D4" s="10" t="inlineStr">
        <is>
          <t>Departement</t>
        </is>
      </c>
      <c r="E4" s="10" t="inlineStr">
        <is>
          <t>Type de Risque</t>
        </is>
      </c>
      <c r="F4" s="10" t="inlineStr">
        <is>
          <t>Danger Identifie</t>
        </is>
      </c>
      <c r="G4" s="10" t="inlineStr">
        <is>
          <t>Population Exposee</t>
        </is>
      </c>
      <c r="H4" s="10" t="inlineStr">
        <is>
          <t>Niveau de Risque</t>
        </is>
      </c>
      <c r="I4" s="10" t="inlineStr">
        <is>
          <t>Mesures Prevention</t>
        </is>
      </c>
      <c r="J4" s="10" t="inlineStr">
        <is>
          <t>Mesures Protection</t>
        </is>
      </c>
      <c r="K4" s="10" t="inlineStr">
        <is>
          <t>Risque Residuel</t>
        </is>
      </c>
      <c r="L4" s="10" t="inlineStr">
        <is>
          <t>Statut</t>
        </is>
      </c>
    </row>
    <row r="5" ht="22" customHeight="1">
      <c r="B5" s="11" t="inlineStr">
        <is>
          <t>ER-001</t>
        </is>
      </c>
      <c r="C5" s="11" t="inlineStr">
        <is>
          <t>Cuisinier</t>
        </is>
      </c>
      <c r="D5" s="11" t="inlineStr">
        <is>
          <t>Cuisine &amp; Restauration</t>
        </is>
      </c>
      <c r="E5" s="11" t="inlineStr">
        <is>
          <t>Risque thermique</t>
        </is>
      </c>
      <c r="F5" s="11" t="inlineStr">
        <is>
          <t>Brulures plaques &amp; friteuses</t>
        </is>
      </c>
      <c r="G5" s="11" t="inlineStr">
        <is>
          <t>8 cuisiniers</t>
        </is>
      </c>
      <c r="H5" s="11" t="inlineStr">
        <is>
          <t>Eleve</t>
        </is>
      </c>
      <c r="I5" s="11" t="inlineStr">
        <is>
          <t>Formation manipulation chaud</t>
        </is>
      </c>
      <c r="J5" s="11" t="inlineStr">
        <is>
          <t>Gants thermiques, tabliers</t>
        </is>
      </c>
      <c r="K5" s="11" t="inlineStr">
        <is>
          <t>Moyen</t>
        </is>
      </c>
      <c r="L5" s="11" t="inlineStr">
        <is>
          <t>Mesures en place</t>
        </is>
      </c>
    </row>
    <row r="6" ht="22" customHeight="1">
      <c r="B6" s="13" t="inlineStr">
        <is>
          <t>ER-002</t>
        </is>
      </c>
      <c r="C6" s="13" t="inlineStr">
        <is>
          <t>Plongeur</t>
        </is>
      </c>
      <c r="D6" s="13" t="inlineStr">
        <is>
          <t>Cuisine &amp; Restauration</t>
        </is>
      </c>
      <c r="E6" s="13" t="inlineStr">
        <is>
          <t>Risque chimique</t>
        </is>
      </c>
      <c r="F6" s="13" t="inlineStr">
        <is>
          <t>Produits detartrants / degreissants</t>
        </is>
      </c>
      <c r="G6" s="13" t="inlineStr">
        <is>
          <t>4 plongeurs</t>
        </is>
      </c>
      <c r="H6" s="13" t="inlineStr">
        <is>
          <t>Moyen</t>
        </is>
      </c>
      <c r="I6" s="13" t="inlineStr">
        <is>
          <t>Formation manipulation produits</t>
        </is>
      </c>
      <c r="J6" s="13" t="inlineStr">
        <is>
          <t>Gants, lunettes, masque</t>
        </is>
      </c>
      <c r="K6" s="13" t="inlineStr">
        <is>
          <t>Faible</t>
        </is>
      </c>
      <c r="L6" s="13" t="inlineStr">
        <is>
          <t>Mesures en place</t>
        </is>
      </c>
    </row>
    <row r="7" ht="22" customHeight="1">
      <c r="B7" s="11" t="inlineStr">
        <is>
          <t>ER-003</t>
        </is>
      </c>
      <c r="C7" s="11" t="inlineStr">
        <is>
          <t>Agent Entretien</t>
        </is>
      </c>
      <c r="D7" s="11" t="inlineStr">
        <is>
          <t>Maintenance</t>
        </is>
      </c>
      <c r="E7" s="11" t="inlineStr">
        <is>
          <t>Risque electrique</t>
        </is>
      </c>
      <c r="F7" s="11" t="inlineStr">
        <is>
          <t>Travaux sous tension</t>
        </is>
      </c>
      <c r="G7" s="11" t="inlineStr">
        <is>
          <t>6 agents</t>
        </is>
      </c>
      <c r="H7" s="11" t="inlineStr">
        <is>
          <t>Eleve</t>
        </is>
      </c>
      <c r="I7" s="11" t="inlineStr">
        <is>
          <t>Consignation equipements</t>
        </is>
      </c>
      <c r="J7" s="11" t="inlineStr">
        <is>
          <t>EPI electrique, verifier VAT</t>
        </is>
      </c>
      <c r="K7" s="11" t="inlineStr">
        <is>
          <t>Moyen</t>
        </is>
      </c>
      <c r="L7" s="11" t="inlineStr">
        <is>
          <t>En cours d'evaluation</t>
        </is>
      </c>
    </row>
    <row r="8" ht="22" customHeight="1">
      <c r="B8" s="13" t="inlineStr">
        <is>
          <t>ER-004</t>
        </is>
      </c>
      <c r="C8" s="13" t="inlineStr">
        <is>
          <t>Agent Securite</t>
        </is>
      </c>
      <c r="D8" s="13" t="inlineStr">
        <is>
          <t>Sécurité</t>
        </is>
      </c>
      <c r="E8" s="13" t="inlineStr">
        <is>
          <t>Risque psychosocial</t>
        </is>
      </c>
      <c r="F8" s="13" t="inlineStr">
        <is>
          <t>Agressions clients, travail de nuit</t>
        </is>
      </c>
      <c r="G8" s="13" t="inlineStr">
        <is>
          <t>4 agents</t>
        </is>
      </c>
      <c r="H8" s="13" t="inlineStr">
        <is>
          <t>Moyen</t>
        </is>
      </c>
      <c r="I8" s="13" t="inlineStr">
        <is>
          <t>Formation gestion conflits</t>
        </is>
      </c>
      <c r="J8" s="13" t="inlineStr">
        <is>
          <t>Radio, camera, binome</t>
        </is>
      </c>
      <c r="K8" s="13" t="inlineStr">
        <is>
          <t>Faible</t>
        </is>
      </c>
      <c r="L8" s="13" t="inlineStr">
        <is>
          <t>Mesures en place</t>
        </is>
      </c>
    </row>
    <row r="9" ht="22" customHeight="1">
      <c r="B9" s="11" t="inlineStr">
        <is>
          <t>ER-005</t>
        </is>
      </c>
      <c r="C9" s="11" t="inlineStr">
        <is>
          <t>Agent Entretien</t>
        </is>
      </c>
      <c r="D9" s="11" t="inlineStr">
        <is>
          <t>Maintenance</t>
        </is>
      </c>
      <c r="E9" s="11" t="inlineStr">
        <is>
          <t>Risque chute de hauteur</t>
        </is>
      </c>
      <c r="F9" s="11" t="inlineStr">
        <is>
          <t>Travaux en hauteur (toiture, echelles)</t>
        </is>
      </c>
      <c r="G9" s="11" t="inlineStr">
        <is>
          <t>6 agents</t>
        </is>
      </c>
      <c r="H9" s="11" t="inlineStr">
        <is>
          <t>Eleve</t>
        </is>
      </c>
      <c r="I9" s="11" t="inlineStr">
        <is>
          <t>Formation travail hauteur</t>
        </is>
      </c>
      <c r="J9" s="11" t="inlineStr">
        <is>
          <t>Harnais, echafaudage</t>
        </is>
      </c>
      <c r="K9" s="11" t="inlineStr">
        <is>
          <t>Moyen</t>
        </is>
      </c>
      <c r="L9" s="11" t="inlineStr">
        <is>
          <t>En cours d'evaluation</t>
        </is>
      </c>
    </row>
    <row r="10" ht="22" customHeight="1">
      <c r="B10" s="13" t="inlineStr">
        <is>
          <t>ER-006</t>
        </is>
      </c>
      <c r="C10" s="13" t="inlineStr">
        <is>
          <t>Cuisinier</t>
        </is>
      </c>
      <c r="D10" s="13" t="inlineStr">
        <is>
          <t>Cuisine &amp; Restauration</t>
        </is>
      </c>
      <c r="E10" s="13" t="inlineStr">
        <is>
          <t>Risque incendie</t>
        </is>
      </c>
      <c r="F10" s="13" t="inlineStr">
        <is>
          <t>Flamme nue, huile chaude</t>
        </is>
      </c>
      <c r="G10" s="13" t="inlineStr">
        <is>
          <t>8 cuisiniers</t>
        </is>
      </c>
      <c r="H10" s="13" t="inlineStr">
        <is>
          <t>Tres eleve</t>
        </is>
      </c>
      <c r="I10" s="13" t="inlineStr">
        <is>
          <t>Formation incendie, extincteurs</t>
        </is>
      </c>
      <c r="J10" s="13" t="inlineStr">
        <is>
          <t>Systeme detection, couverture anti-feu</t>
        </is>
      </c>
      <c r="K10" s="13" t="inlineStr">
        <is>
          <t>Eleve</t>
        </is>
      </c>
      <c r="L10" s="13" t="inlineStr">
        <is>
          <t>Identifie</t>
        </is>
      </c>
    </row>
    <row r="11" ht="22" customHeight="1">
      <c r="B11" s="16">
        <f>IF(C11="","ER-"&amp;TEXT(COUNTA($C$5:C11),"000"))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22" customHeight="1">
      <c r="B12" s="15">
        <f>IF(C12="","ER-"&amp;TEXT(COUNTA($C$5:C12),"000"))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22" customHeight="1">
      <c r="B13" s="16">
        <f>IF(C13="","ER-"&amp;TEXT(COUNTA($C$5:C13),"000"))</f>
        <v/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22" customHeight="1">
      <c r="B14" s="15">
        <f>IF(C14="","ER-"&amp;TEXT(COUNTA($C$5:C14),"000"))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2" customHeight="1">
      <c r="B15" s="16">
        <f>IF(C15="","ER-"&amp;TEXT(COUNTA($C$5:C15),"000"))</f>
        <v/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22" customHeight="1">
      <c r="B16" s="15">
        <f>IF(C16="","ER-"&amp;TEXT(COUNTA($C$5:C16),"000"))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2" customHeight="1">
      <c r="B17" s="16">
        <f>IF(C17="","ER-"&amp;TEXT(COUNTA($C$5:C17),"000"))</f>
        <v/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22" customHeight="1">
      <c r="B18" s="15">
        <f>IF(C18="","ER-"&amp;TEXT(COUNTA($C$5:C18),"000"))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2" customHeight="1">
      <c r="B19" s="16">
        <f>IF(C19="","ER-"&amp;TEXT(COUNTA($C$5:C19),"000"))</f>
        <v/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22" customHeight="1">
      <c r="B20" s="15">
        <f>IF(C20="","ER-"&amp;TEXT(COUNTA($C$5:C20),"000"))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 ht="22" customHeight="1">
      <c r="B21" s="16">
        <f>IF(C21="","ER-"&amp;TEXT(COUNTA($C$5:C21),"000"))</f>
        <v/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22" customHeight="1">
      <c r="B22" s="15">
        <f>IF(C22="","ER-"&amp;TEXT(COUNTA($C$5:C22),"000"))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22" customHeight="1">
      <c r="B23" s="16">
        <f>IF(C23="","ER-"&amp;TEXT(COUNTA($C$5:C23),"000"))</f>
        <v/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22" customHeight="1">
      <c r="B24" s="15">
        <f>IF(C24="","ER-"&amp;TEXT(COUNTA($C$5:C24),"000"))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22" customHeight="1">
      <c r="B25" s="16">
        <f>IF(C25="","ER-"&amp;TEXT(COUNTA($C$5:C25),"000"))</f>
        <v/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B26" s="15">
        <f>IF(C26="","ER-"&amp;TEXT(COUNTA($C$5:C26),"000"))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2" customHeight="1">
      <c r="B27" s="16">
        <f>IF(C27="","ER-"&amp;TEXT(COUNTA($C$5:C27),"000"))</f>
        <v/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22" customHeight="1">
      <c r="B28" s="15">
        <f>IF(C28="","ER-"&amp;TEXT(COUNTA($C$5:C28),"000"))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B29" s="16">
        <f>IF(C29="","ER-"&amp;TEXT(COUNTA($C$5:C29),"000"))</f>
        <v/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22" customHeight="1">
      <c r="B30" s="15">
        <f>IF(C30="","ER-"&amp;TEXT(COUNTA($C$5:C30),"000"))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22" customHeight="1">
      <c r="B31" s="16">
        <f>IF(C31="","ER-"&amp;TEXT(COUNTA($C$5:C31),"000"))</f>
        <v/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22" customHeight="1">
      <c r="B32" s="15">
        <f>IF(C32="","ER-"&amp;TEXT(COUNTA($C$5:C32),"000"))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22" customHeight="1">
      <c r="B33" s="16">
        <f>IF(C33="","ER-"&amp;TEXT(COUNTA($C$5:C33),"000"))</f>
        <v/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22" customHeight="1">
      <c r="B34" s="15">
        <f>IF(C34="","ER-"&amp;TEXT(COUNTA($C$5:C34),"000"))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22" customHeight="1">
      <c r="B35" s="16">
        <f>IF(C35="","ER-"&amp;TEXT(COUNTA($C$5:C35),"000"))</f>
        <v/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22" customHeight="1">
      <c r="B36" s="15">
        <f>IF(C36="","ER-"&amp;TEXT(COUNTA($C$5:C36),"000"))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 ht="22" customHeight="1">
      <c r="B37" s="16">
        <f>IF(C37="","ER-"&amp;TEXT(COUNTA($C$5:C37),"000"))</f>
        <v/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22" customHeight="1">
      <c r="B38" s="15">
        <f>IF(C38="","ER-"&amp;TEXT(COUNTA($C$5:C38),"000"))</f>
        <v/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22" customHeight="1">
      <c r="B39" s="16">
        <f>IF(C39="","ER-"&amp;TEXT(COUNTA($C$5:C39),"000"))</f>
        <v/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22" customHeight="1">
      <c r="B40" s="15">
        <f>IF(C40="","ER-"&amp;TEXT(COUNTA($C$5:C40),"000"))</f>
        <v/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 ht="22" customHeight="1">
      <c r="B41" s="16">
        <f>IF(C41="","ER-"&amp;TEXT(COUNTA($C$5:C41),"000"))</f>
        <v/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22" customHeight="1">
      <c r="B42" s="15">
        <f>IF(C42="","ER-"&amp;TEXT(COUNTA($C$5:C42),"000"))</f>
        <v/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22" customHeight="1">
      <c r="B43" s="16">
        <f>IF(C43="","ER-"&amp;TEXT(COUNTA($C$5:C43),"000"))</f>
        <v/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22" customHeight="1">
      <c r="B44" s="15">
        <f>IF(C44="","ER-"&amp;TEXT(COUNTA($C$5:C44),"000"))</f>
        <v/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22" customHeight="1">
      <c r="B45" s="16">
        <f>IF(C45="","ER-"&amp;TEXT(COUNTA($C$5:C45),"000"))</f>
        <v/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 ht="22" customHeight="1">
      <c r="B46" s="15">
        <f>IF(C46="","ER-"&amp;TEXT(COUNTA($C$5:C46),"000"))</f>
        <v/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 ht="22" customHeight="1">
      <c r="B47" s="16">
        <f>IF(C47="","ER-"&amp;TEXT(COUNTA($C$5:C47),"000"))</f>
        <v/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 ht="22" customHeight="1">
      <c r="B48" s="15">
        <f>IF(C48="","ER-"&amp;TEXT(COUNTA($C$5:C48),"000"))</f>
        <v/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 ht="22" customHeight="1">
      <c r="B49" s="16">
        <f>IF(C49="","ER-"&amp;TEXT(COUNTA($C$5:C49),"000"))</f>
        <v/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 ht="22" customHeight="1">
      <c r="B50" s="15">
        <f>IF(C50="","ER-"&amp;TEXT(COUNTA($C$5:C50),"000"))</f>
        <v/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 ht="22" customHeight="1">
      <c r="B51" s="16">
        <f>IF(C51="","ER-"&amp;TEXT(COUNTA($C$5:C51),"000"))</f>
        <v/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 ht="22" customHeight="1">
      <c r="B52" s="15">
        <f>IF(C52="","ER-"&amp;TEXT(COUNTA($C$5:C52),"000"))</f>
        <v/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 ht="22" customHeight="1">
      <c r="B53" s="16">
        <f>IF(C53="","ER-"&amp;TEXT(COUNTA($C$5:C53),"000"))</f>
        <v/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 ht="22" customHeight="1">
      <c r="B54" s="15">
        <f>IF(C54="","ER-"&amp;TEXT(COUNTA($C$5:C54),"000"))</f>
        <v/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 ht="22" customHeight="1">
      <c r="B55" s="16">
        <f>IF(C55="","ER-"&amp;TEXT(COUNTA($C$5:C55),"000"))</f>
        <v/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 ht="22" customHeight="1">
      <c r="B56" s="15">
        <f>IF(C56="","ER-"&amp;TEXT(COUNTA($C$5:C56),"000"))</f>
        <v/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 ht="22" customHeight="1">
      <c r="B57" s="16">
        <f>IF(C57="","ER-"&amp;TEXT(COUNTA($C$5:C57),"000"))</f>
        <v/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 ht="22" customHeight="1">
      <c r="B58" s="15">
        <f>IF(C58="","ER-"&amp;TEXT(COUNTA($C$5:C58),"000"))</f>
        <v/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 ht="22" customHeight="1">
      <c r="B59" s="16">
        <f>IF(C59="","ER-"&amp;TEXT(COUNTA($C$5:C59),"000"))</f>
        <v/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 ht="22" customHeight="1">
      <c r="B60" s="15">
        <f>IF(C60="","ER-"&amp;TEXT(COUNTA($C$5:C60),"000"))</f>
        <v/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 ht="22" customHeight="1">
      <c r="B61" s="16">
        <f>IF(C61="","ER-"&amp;TEXT(COUNTA($C$5:C61),"000"))</f>
        <v/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 ht="22" customHeight="1">
      <c r="B62" s="15">
        <f>IF(C62="","ER-"&amp;TEXT(COUNTA($C$5:C62),"000"))</f>
        <v/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 ht="22" customHeight="1">
      <c r="B63" s="16">
        <f>IF(C63="","ER-"&amp;TEXT(COUNTA($C$5:C63),"000"))</f>
        <v/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 ht="22" customHeight="1">
      <c r="B64" s="15">
        <f>IF(C64="","ER-"&amp;TEXT(COUNTA($C$5:C64),"000"))</f>
        <v/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 ht="22" customHeight="1">
      <c r="B65" s="16">
        <f>IF(C65="","ER-"&amp;TEXT(COUNTA($C$5:C65),"000"))</f>
        <v/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 ht="22" customHeight="1">
      <c r="B66" s="15">
        <f>IF(C66="","ER-"&amp;TEXT(COUNTA($C$5:C66),"000"))</f>
        <v/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 ht="22" customHeight="1">
      <c r="B67" s="16">
        <f>IF(C67="","ER-"&amp;TEXT(COUNTA($C$5:C67),"000"))</f>
        <v/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 ht="22" customHeight="1">
      <c r="B68" s="15">
        <f>IF(C68="","ER-"&amp;TEXT(COUNTA($C$5:C68),"000"))</f>
        <v/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 ht="22" customHeight="1">
      <c r="B69" s="16">
        <f>IF(C69="","ER-"&amp;TEXT(COUNTA($C$5:C69),"000"))</f>
        <v/>
      </c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 ht="22" customHeight="1">
      <c r="B70" s="15">
        <f>IF(C70="","ER-"&amp;TEXT(COUNTA($C$5:C70),"000"))</f>
        <v/>
      </c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 ht="22" customHeight="1">
      <c r="B71" s="16">
        <f>IF(C71="","ER-"&amp;TEXT(COUNTA($C$5:C71),"000"))</f>
        <v/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 ht="22" customHeight="1">
      <c r="B72" s="15">
        <f>IF(C72="","ER-"&amp;TEXT(COUNTA($C$5:C72),"000"))</f>
        <v/>
      </c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 ht="22" customHeight="1">
      <c r="B73" s="16">
        <f>IF(C73="","ER-"&amp;TEXT(COUNTA($C$5:C73),"000"))</f>
        <v/>
      </c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 ht="22" customHeight="1">
      <c r="B74" s="15">
        <f>IF(C74="","ER-"&amp;TEXT(COUNTA($C$5:C74),"000"))</f>
        <v/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 ht="22" customHeight="1">
      <c r="B75" s="16">
        <f>IF(C75="","ER-"&amp;TEXT(COUNTA($C$5:C75),"000"))</f>
        <v/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 ht="22" customHeight="1">
      <c r="B76" s="15">
        <f>IF(C76="","ER-"&amp;TEXT(COUNTA($C$5:C76),"000"))</f>
        <v/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 ht="22" customHeight="1">
      <c r="B77" s="16">
        <f>IF(C77="","ER-"&amp;TEXT(COUNTA($C$5:C77),"000"))</f>
        <v/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 ht="22" customHeight="1">
      <c r="B78" s="15">
        <f>IF(C78="","ER-"&amp;TEXT(COUNTA($C$5:C78),"000"))</f>
        <v/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22" customHeight="1">
      <c r="B79" s="16">
        <f>IF(C79="","ER-"&amp;TEXT(COUNTA($C$5:C79),"000"))</f>
        <v/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 ht="22" customHeight="1">
      <c r="B80" s="15">
        <f>IF(C80="","ER-"&amp;TEXT(COUNTA($C$5:C80),"000"))</f>
        <v/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 ht="22" customHeight="1">
      <c r="B81" s="16">
        <f>IF(C81="","ER-"&amp;TEXT(COUNTA($C$5:C81),"000"))</f>
        <v/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22" customHeight="1">
      <c r="B82" s="15">
        <f>IF(C82="","ER-"&amp;TEXT(COUNTA($C$5:C82),"000"))</f>
        <v/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 ht="22" customHeight="1">
      <c r="B83" s="16">
        <f>IF(C83="","ER-"&amp;TEXT(COUNTA($C$5:C83),"000"))</f>
        <v/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</row>
    <row r="84" ht="22" customHeight="1">
      <c r="B84" s="15">
        <f>IF(C84="","ER-"&amp;TEXT(COUNTA($C$5:C84),"000"))</f>
        <v/>
      </c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22" customHeight="1">
      <c r="B85" s="16">
        <f>IF(C85="","ER-"&amp;TEXT(COUNTA($C$5:C85),"000"))</f>
        <v/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</row>
    <row r="86" ht="22" customHeight="1">
      <c r="B86" s="15">
        <f>IF(C86="","ER-"&amp;TEXT(COUNTA($C$5:C86),"000"))</f>
        <v/>
      </c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 ht="22" customHeight="1">
      <c r="B87" s="16">
        <f>IF(C87="","ER-"&amp;TEXT(COUNTA($C$5:C87),"000"))</f>
        <v/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 ht="22" customHeight="1">
      <c r="B88" s="15">
        <f>IF(C88="","ER-"&amp;TEXT(COUNTA($C$5:C88),"000"))</f>
        <v/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22" customHeight="1">
      <c r="B89" s="16">
        <f>IF(C89="","ER-"&amp;TEXT(COUNTA($C$5:C89),"000"))</f>
        <v/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 ht="22" customHeight="1">
      <c r="B90" s="15">
        <f>IF(C90="","ER-"&amp;TEXT(COUNTA($C$5:C90),"000"))</f>
        <v/>
      </c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 ht="22" customHeight="1">
      <c r="B91" s="16">
        <f>IF(C91="","ER-"&amp;TEXT(COUNTA($C$5:C91),"000"))</f>
        <v/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</row>
    <row r="92" ht="22" customHeight="1">
      <c r="B92" s="15">
        <f>IF(C92="","ER-"&amp;TEXT(COUNTA($C$5:C92),"000"))</f>
        <v/>
      </c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 ht="22" customHeight="1">
      <c r="B93" s="16">
        <f>IF(C93="","ER-"&amp;TEXT(COUNTA($C$5:C93),"000"))</f>
        <v/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</row>
    <row r="94" ht="22" customHeight="1">
      <c r="B94" s="15">
        <f>IF(C94="","ER-"&amp;TEXT(COUNTA($C$5:C94),"000"))</f>
        <v/>
      </c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 ht="22" customHeight="1">
      <c r="B95" s="16">
        <f>IF(C95="","ER-"&amp;TEXT(COUNTA($C$5:C95),"000"))</f>
        <v/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</row>
    <row r="96" ht="22" customHeight="1">
      <c r="B96" s="15">
        <f>IF(C96="","ER-"&amp;TEXT(COUNTA($C$5:C96),"000"))</f>
        <v/>
      </c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 ht="22" customHeight="1">
      <c r="B97" s="16">
        <f>IF(C97="","ER-"&amp;TEXT(COUNTA($C$5:C97),"000"))</f>
        <v/>
      </c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</row>
    <row r="98" ht="22" customHeight="1">
      <c r="B98" s="15">
        <f>IF(C98="","ER-"&amp;TEXT(COUNTA($C$5:C98),"000"))</f>
        <v/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 ht="22" customHeight="1">
      <c r="B99" s="16">
        <f>IF(C99="","ER-"&amp;TEXT(COUNTA($C$5:C99),"000"))</f>
        <v/>
      </c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</row>
    <row r="100" ht="22" customHeight="1">
      <c r="B100" s="15">
        <f>IF(C100="","ER-"&amp;TEXT(COUNTA($C$5:C100),"000"))</f>
        <v/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 ht="22" customHeight="1">
      <c r="B101" s="16">
        <f>IF(C101="","ER-"&amp;TEXT(COUNTA($C$5:C101),"000"))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</row>
    <row r="102" ht="22" customHeight="1">
      <c r="B102" s="15">
        <f>IF(C102="","ER-"&amp;TEXT(COUNTA($C$5:C102),"000"))</f>
        <v/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 ht="22" customHeight="1">
      <c r="B103" s="16">
        <f>IF(C103="","ER-"&amp;TEXT(COUNTA($C$5:C103),"000"))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</row>
    <row r="104" ht="22" customHeight="1">
      <c r="B104" s="15">
        <f>IF(C104="","ER-"&amp;TEXT(COUNTA($C$5:C104),"000"))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 ht="22" customHeight="1">
      <c r="B105" s="16">
        <f>IF(C105="","ER-"&amp;TEXT(COUNTA($C$5:C105),"000"))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</row>
    <row r="106" ht="22" customHeight="1">
      <c r="B106" s="15">
        <f>IF(C106="","ER-"&amp;TEXT(COUNTA($C$5:C106),"000"))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 ht="22" customHeight="1">
      <c r="B107" s="16">
        <f>IF(C107="","ER-"&amp;TEXT(COUNTA($C$5:C107),"000"))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</row>
    <row r="108" ht="22" customHeight="1">
      <c r="B108" s="15">
        <f>IF(C108="","ER-"&amp;TEXT(COUNTA($C$5:C108),"000"))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 ht="22" customHeight="1">
      <c r="B109" s="16">
        <f>IF(C109="","ER-"&amp;TEXT(COUNTA($C$5:C109),"000"))</f>
        <v/>
      </c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</row>
    <row r="110" ht="22" customHeight="1">
      <c r="B110" s="15">
        <f>IF(C110="","ER-"&amp;TEXT(COUNTA($C$5:C110),"000"))</f>
        <v/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Risques evalues</t>
        </is>
      </c>
      <c r="D113" s="3" t="inlineStr">
        <is>
          <t>Niveau eleve+</t>
        </is>
      </c>
      <c r="F113" s="3" t="inlineStr">
        <is>
          <t>Non traites</t>
        </is>
      </c>
      <c r="H113" s="3" t="inlineStr">
        <is>
          <t>Identifies</t>
        </is>
      </c>
    </row>
    <row r="114">
      <c r="B114" s="4">
        <f>COUNTIF(B5:B104,"&lt;&gt;")</f>
        <v/>
      </c>
      <c r="D114" s="4">
        <f>COUNTIF(H5:H104,"Eleve")+COUNTIF(H5:H104,"Tres eleve")+COUNTIF(H5:H104,"Critique")</f>
        <v/>
      </c>
      <c r="F114" s="4">
        <f>COUNTIF(L5:L104,"Non traite")</f>
        <v/>
      </c>
      <c r="H114" s="4">
        <f>COUNTIF(L5:L104,"Identifie")</f>
        <v/>
      </c>
    </row>
  </sheetData>
  <mergeCells count="3">
    <mergeCell ref="B2:L2"/>
    <mergeCell ref="B112:L112"/>
    <mergeCell ref="B3:L3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conditionalFormatting sqref="K11:K110">
    <cfRule type="expression" priority="10" dxfId="0">
      <formula>AND($C11="",$C10&lt;&gt;"")</formula>
    </cfRule>
  </conditionalFormatting>
  <conditionalFormatting sqref="L11:L110">
    <cfRule type="expression" priority="11" dxfId="0">
      <formula>AND($C11="",$C10&lt;&gt;"")</formula>
    </cfRule>
  </conditionalFormatting>
  <dataValidations count="5">
    <dataValidation sqref="D5:D110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E5:E110" showDropDown="0" showInputMessage="0" showErrorMessage="0" allowBlank="1" errorTitle="Erreur" error="Valeur invalide" promptTitle="Liste" prompt="Choisir dans la liste" type="list">
      <formula1>'_Lists'!$D$2:$D$12</formula1>
    </dataValidation>
    <dataValidation sqref="H5:H110" showDropDown="0" showInputMessage="0" showErrorMessage="0" allowBlank="1" errorTitle="Erreur" error="Valeur invalide" promptTitle="Liste" prompt="Choisir dans la liste" type="list">
      <formula1>'_Lists'!$E$2:$E$6</formula1>
    </dataValidation>
    <dataValidation sqref="K5:K110" showDropDown="0" showInputMessage="0" showErrorMessage="0" allowBlank="1" errorTitle="Erreur" error="Valeur invalide" promptTitle="Liste" prompt="Choisir dans la liste" type="list">
      <formula1>'_Lists'!$E$2:$E$6</formula1>
    </dataValidation>
    <dataValidation sqref="L5:L110" showDropDown="0" showInputMessage="0" showErrorMessage="0" allowBlank="1" errorTitle="Erreur" error="Valeur invalide" promptTitle="Liste" prompt="Choisir dans la liste" type="list">
      <formula1>'_Lists'!$F$2:$F$7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36" customWidth="1" min="4" max="4"/>
    <col width="18" customWidth="1" min="5" max="5"/>
    <col width="22" customWidth="1" min="6" max="6"/>
    <col width="12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</cols>
  <sheetData>
    <row r="1" ht="15" customHeight="1"/>
    <row r="2" ht="32" customHeight="1">
      <c r="B2" s="1" t="inlineStr">
        <is>
          <t>PLAN D'ACTION SECURITE (#99)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Risque Lie (N°)</t>
        </is>
      </c>
      <c r="D4" s="10" t="inlineStr">
        <is>
          <t>Action a Mener</t>
        </is>
      </c>
      <c r="E4" s="10" t="inlineStr">
        <is>
          <t>Responsable</t>
        </is>
      </c>
      <c r="F4" s="10" t="inlineStr">
        <is>
          <t>Departement</t>
        </is>
      </c>
      <c r="G4" s="10" t="inlineStr">
        <is>
          <t>Priorite</t>
        </is>
      </c>
      <c r="H4" s="10" t="inlineStr">
        <is>
          <t>Date Lancement</t>
        </is>
      </c>
      <c r="I4" s="10" t="inlineStr">
        <is>
          <t>Echeance</t>
        </is>
      </c>
      <c r="J4" s="10" t="inlineStr">
        <is>
          <t>Budget Prevu (FCFA)</t>
        </is>
      </c>
      <c r="K4" s="10" t="inlineStr">
        <is>
          <t>Budget Reel (FCFA)</t>
        </is>
      </c>
      <c r="L4" s="10" t="inlineStr">
        <is>
          <t>Statut</t>
        </is>
      </c>
    </row>
    <row r="5" ht="22" customHeight="1">
      <c r="B5" s="11" t="inlineStr">
        <is>
          <t>PAS-001</t>
        </is>
      </c>
      <c r="C5" s="11" t="inlineStr">
        <is>
          <t>ER-006</t>
        </is>
      </c>
      <c r="D5" s="11" t="inlineStr">
        <is>
          <t>Installer systeme detection fumee cuisine</t>
        </is>
      </c>
      <c r="E5" s="11" t="inlineStr">
        <is>
          <t>Chef Entretien</t>
        </is>
      </c>
      <c r="F5" s="11" t="inlineStr">
        <is>
          <t>Maintenance</t>
        </is>
      </c>
      <c r="G5" s="11" t="inlineStr">
        <is>
          <t>Haute</t>
        </is>
      </c>
      <c r="H5" s="28" t="n">
        <v>45778</v>
      </c>
      <c r="I5" s="28" t="n">
        <v>45869</v>
      </c>
      <c r="J5" s="17" t="n">
        <v>350000</v>
      </c>
      <c r="K5" s="17" t="n">
        <v>280000</v>
      </c>
      <c r="L5" s="11" t="inlineStr">
        <is>
          <t>En cours</t>
        </is>
      </c>
    </row>
    <row r="6" ht="22" customHeight="1">
      <c r="B6" s="13" t="inlineStr">
        <is>
          <t>PAS-002</t>
        </is>
      </c>
      <c r="C6" s="13" t="inlineStr">
        <is>
          <t>ER-003</t>
        </is>
      </c>
      <c r="D6" s="13" t="inlineStr">
        <is>
          <t>Former agents entretien travaux electriques</t>
        </is>
      </c>
      <c r="E6" s="13" t="inlineStr">
        <is>
          <t>Chef Securite</t>
        </is>
      </c>
      <c r="F6" s="13" t="inlineStr">
        <is>
          <t>Maintenance</t>
        </is>
      </c>
      <c r="G6" s="13" t="inlineStr">
        <is>
          <t>Haute</t>
        </is>
      </c>
      <c r="H6" s="29" t="n">
        <v>45809</v>
      </c>
      <c r="I6" s="29" t="n">
        <v>45900</v>
      </c>
      <c r="J6" s="18" t="n">
        <v>150000</v>
      </c>
      <c r="K6" s="18" t="n">
        <v>0</v>
      </c>
      <c r="L6" s="13" t="inlineStr">
        <is>
          <t>Planifiee</t>
        </is>
      </c>
    </row>
    <row r="7" ht="22" customHeight="1">
      <c r="B7" s="11" t="inlineStr">
        <is>
          <t>PAS-003</t>
        </is>
      </c>
      <c r="C7" s="11" t="inlineStr">
        <is>
          <t>ER-005</t>
        </is>
      </c>
      <c r="D7" s="11" t="inlineStr">
        <is>
          <t>Acheter harnais &amp; echafaudages certifies</t>
        </is>
      </c>
      <c r="E7" s="11" t="inlineStr">
        <is>
          <t>Chef Logistique</t>
        </is>
      </c>
      <c r="F7" s="11" t="inlineStr">
        <is>
          <t>Logistique &amp; Approvisionnement</t>
        </is>
      </c>
      <c r="G7" s="11" t="inlineStr">
        <is>
          <t>Haute</t>
        </is>
      </c>
      <c r="H7" s="28" t="n">
        <v>45792</v>
      </c>
      <c r="I7" s="28" t="n">
        <v>45853</v>
      </c>
      <c r="J7" s="17" t="n">
        <v>500000</v>
      </c>
      <c r="K7" s="17" t="n">
        <v>320000</v>
      </c>
      <c r="L7" s="11" t="inlineStr">
        <is>
          <t>En cours</t>
        </is>
      </c>
    </row>
    <row r="8" ht="22" customHeight="1">
      <c r="B8" s="13" t="inlineStr">
        <is>
          <t>PAS-004</t>
        </is>
      </c>
      <c r="C8" s="13" t="inlineStr">
        <is>
          <t>ER-004</t>
        </is>
      </c>
      <c r="D8" s="13" t="inlineStr">
        <is>
          <t>Formation gestion aggressions securite</t>
        </is>
      </c>
      <c r="E8" s="13" t="inlineStr">
        <is>
          <t>Chef Securite</t>
        </is>
      </c>
      <c r="F8" s="13" t="inlineStr">
        <is>
          <t>Sécurité</t>
        </is>
      </c>
      <c r="G8" s="13" t="inlineStr">
        <is>
          <t>Moyenne</t>
        </is>
      </c>
      <c r="H8" s="29" t="n">
        <v>45839</v>
      </c>
      <c r="I8" s="29" t="n">
        <v>45930</v>
      </c>
      <c r="J8" s="18" t="n">
        <v>80000</v>
      </c>
      <c r="K8" s="18" t="n">
        <v>0</v>
      </c>
      <c r="L8" s="13" t="inlineStr">
        <is>
          <t>Planifiee</t>
        </is>
      </c>
    </row>
    <row r="9" ht="22" customHeight="1">
      <c r="B9" s="11" t="inlineStr">
        <is>
          <t>PAS-005</t>
        </is>
      </c>
      <c r="C9" s="11" t="inlineStr">
        <is>
          <t>ER-001</t>
        </is>
      </c>
      <c r="D9" s="11" t="inlineStr">
        <is>
          <t>Renvoi cuisiniers formation brulures</t>
        </is>
      </c>
      <c r="E9" s="11" t="inlineStr">
        <is>
          <t>Chef Cuisine</t>
        </is>
      </c>
      <c r="F9" s="11" t="inlineStr">
        <is>
          <t>Cuisine &amp; Restauration</t>
        </is>
      </c>
      <c r="G9" s="11" t="inlineStr">
        <is>
          <t>Moyenne</t>
        </is>
      </c>
      <c r="H9" s="28" t="n">
        <v>45748</v>
      </c>
      <c r="I9" s="28" t="n">
        <v>45838</v>
      </c>
      <c r="J9" s="17" t="n">
        <v>50000</v>
      </c>
      <c r="K9" s="17" t="n">
        <v>50000</v>
      </c>
      <c r="L9" s="11" t="inlineStr">
        <is>
          <t>Terminee</t>
        </is>
      </c>
    </row>
    <row r="10" ht="22" customHeight="1">
      <c r="B10" s="15">
        <f>IF(C10="","PAS-"&amp;TEXT(COUNTA($C$5:C10),"000"))</f>
        <v/>
      </c>
      <c r="C10" s="13" t="n"/>
      <c r="D10" s="13" t="n"/>
      <c r="E10" s="13" t="n"/>
      <c r="F10" s="13" t="n"/>
      <c r="G10" s="13" t="n"/>
      <c r="H10" s="29" t="n"/>
      <c r="I10" s="29" t="n"/>
      <c r="J10" s="18" t="n"/>
      <c r="K10" s="18">
        <f>IF(J10="","",J10-K10)</f>
        <v/>
      </c>
      <c r="L10" s="13" t="n"/>
    </row>
    <row r="11" ht="22" customHeight="1">
      <c r="B11" s="16">
        <f>IF(C11="","PAS-"&amp;TEXT(COUNTA($C$5:C11),"000"))</f>
        <v/>
      </c>
      <c r="C11" s="11" t="n"/>
      <c r="D11" s="11" t="n"/>
      <c r="E11" s="11" t="n"/>
      <c r="F11" s="11" t="n"/>
      <c r="G11" s="11" t="n"/>
      <c r="H11" s="28" t="n"/>
      <c r="I11" s="28" t="n"/>
      <c r="J11" s="17" t="n"/>
      <c r="K11" s="17">
        <f>IF(J11="","",J11-K11)</f>
        <v/>
      </c>
      <c r="L11" s="11" t="n"/>
    </row>
    <row r="12" ht="22" customHeight="1">
      <c r="B12" s="15">
        <f>IF(C12="","PAS-"&amp;TEXT(COUNTA($C$5:C12),"000"))</f>
        <v/>
      </c>
      <c r="C12" s="13" t="n"/>
      <c r="D12" s="13" t="n"/>
      <c r="E12" s="13" t="n"/>
      <c r="F12" s="13" t="n"/>
      <c r="G12" s="13" t="n"/>
      <c r="H12" s="29" t="n"/>
      <c r="I12" s="29" t="n"/>
      <c r="J12" s="18" t="n"/>
      <c r="K12" s="18">
        <f>IF(J12="","",J12-K12)</f>
        <v/>
      </c>
      <c r="L12" s="13" t="n"/>
    </row>
    <row r="13" ht="22" customHeight="1">
      <c r="B13" s="16">
        <f>IF(C13="","PAS-"&amp;TEXT(COUNTA($C$5:C13),"000"))</f>
        <v/>
      </c>
      <c r="C13" s="11" t="n"/>
      <c r="D13" s="11" t="n"/>
      <c r="E13" s="11" t="n"/>
      <c r="F13" s="11" t="n"/>
      <c r="G13" s="11" t="n"/>
      <c r="H13" s="28" t="n"/>
      <c r="I13" s="28" t="n"/>
      <c r="J13" s="17" t="n"/>
      <c r="K13" s="17">
        <f>IF(J13="","",J13-K13)</f>
        <v/>
      </c>
      <c r="L13" s="11" t="n"/>
    </row>
    <row r="14" ht="22" customHeight="1">
      <c r="B14" s="15">
        <f>IF(C14="","PAS-"&amp;TEXT(COUNTA($C$5:C14),"000"))</f>
        <v/>
      </c>
      <c r="C14" s="13" t="n"/>
      <c r="D14" s="13" t="n"/>
      <c r="E14" s="13" t="n"/>
      <c r="F14" s="13" t="n"/>
      <c r="G14" s="13" t="n"/>
      <c r="H14" s="29" t="n"/>
      <c r="I14" s="29" t="n"/>
      <c r="J14" s="18" t="n"/>
      <c r="K14" s="18">
        <f>IF(J14="","",J14-K14)</f>
        <v/>
      </c>
      <c r="L14" s="13" t="n"/>
    </row>
    <row r="15" ht="22" customHeight="1">
      <c r="B15" s="16">
        <f>IF(C15="","PAS-"&amp;TEXT(COUNTA($C$5:C15),"000"))</f>
        <v/>
      </c>
      <c r="C15" s="11" t="n"/>
      <c r="D15" s="11" t="n"/>
      <c r="E15" s="11" t="n"/>
      <c r="F15" s="11" t="n"/>
      <c r="G15" s="11" t="n"/>
      <c r="H15" s="28" t="n"/>
      <c r="I15" s="28" t="n"/>
      <c r="J15" s="17" t="n"/>
      <c r="K15" s="17">
        <f>IF(J15="","",J15-K15)</f>
        <v/>
      </c>
      <c r="L15" s="11" t="n"/>
    </row>
    <row r="16" ht="22" customHeight="1">
      <c r="B16" s="15">
        <f>IF(C16="","PAS-"&amp;TEXT(COUNTA($C$5:C16),"000"))</f>
        <v/>
      </c>
      <c r="C16" s="13" t="n"/>
      <c r="D16" s="13" t="n"/>
      <c r="E16" s="13" t="n"/>
      <c r="F16" s="13" t="n"/>
      <c r="G16" s="13" t="n"/>
      <c r="H16" s="29" t="n"/>
      <c r="I16" s="29" t="n"/>
      <c r="J16" s="18" t="n"/>
      <c r="K16" s="18">
        <f>IF(J16="","",J16-K16)</f>
        <v/>
      </c>
      <c r="L16" s="13" t="n"/>
    </row>
    <row r="17" ht="22" customHeight="1">
      <c r="B17" s="16">
        <f>IF(C17="","PAS-"&amp;TEXT(COUNTA($C$5:C17),"000"))</f>
        <v/>
      </c>
      <c r="C17" s="11" t="n"/>
      <c r="D17" s="11" t="n"/>
      <c r="E17" s="11" t="n"/>
      <c r="F17" s="11" t="n"/>
      <c r="G17" s="11" t="n"/>
      <c r="H17" s="28" t="n"/>
      <c r="I17" s="28" t="n"/>
      <c r="J17" s="17" t="n"/>
      <c r="K17" s="17">
        <f>IF(J17="","",J17-K17)</f>
        <v/>
      </c>
      <c r="L17" s="11" t="n"/>
    </row>
    <row r="18" ht="22" customHeight="1">
      <c r="B18" s="15">
        <f>IF(C18="","PAS-"&amp;TEXT(COUNTA($C$5:C18),"000"))</f>
        <v/>
      </c>
      <c r="C18" s="13" t="n"/>
      <c r="D18" s="13" t="n"/>
      <c r="E18" s="13" t="n"/>
      <c r="F18" s="13" t="n"/>
      <c r="G18" s="13" t="n"/>
      <c r="H18" s="29" t="n"/>
      <c r="I18" s="29" t="n"/>
      <c r="J18" s="18" t="n"/>
      <c r="K18" s="18">
        <f>IF(J18="","",J18-K18)</f>
        <v/>
      </c>
      <c r="L18" s="13" t="n"/>
    </row>
    <row r="19" ht="22" customHeight="1">
      <c r="B19" s="16">
        <f>IF(C19="","PAS-"&amp;TEXT(COUNTA($C$5:C19),"000"))</f>
        <v/>
      </c>
      <c r="C19" s="11" t="n"/>
      <c r="D19" s="11" t="n"/>
      <c r="E19" s="11" t="n"/>
      <c r="F19" s="11" t="n"/>
      <c r="G19" s="11" t="n"/>
      <c r="H19" s="28" t="n"/>
      <c r="I19" s="28" t="n"/>
      <c r="J19" s="17" t="n"/>
      <c r="K19" s="17">
        <f>IF(J19="","",J19-K19)</f>
        <v/>
      </c>
      <c r="L19" s="11" t="n"/>
    </row>
    <row r="20" ht="22" customHeight="1">
      <c r="B20" s="15">
        <f>IF(C20="","PAS-"&amp;TEXT(COUNTA($C$5:C20),"000"))</f>
        <v/>
      </c>
      <c r="C20" s="13" t="n"/>
      <c r="D20" s="13" t="n"/>
      <c r="E20" s="13" t="n"/>
      <c r="F20" s="13" t="n"/>
      <c r="G20" s="13" t="n"/>
      <c r="H20" s="29" t="n"/>
      <c r="I20" s="29" t="n"/>
      <c r="J20" s="18" t="n"/>
      <c r="K20" s="18">
        <f>IF(J20="","",J20-K20)</f>
        <v/>
      </c>
      <c r="L20" s="13" t="n"/>
    </row>
    <row r="21" ht="22" customHeight="1">
      <c r="B21" s="16">
        <f>IF(C21="","PAS-"&amp;TEXT(COUNTA($C$5:C21),"000"))</f>
        <v/>
      </c>
      <c r="C21" s="11" t="n"/>
      <c r="D21" s="11" t="n"/>
      <c r="E21" s="11" t="n"/>
      <c r="F21" s="11" t="n"/>
      <c r="G21" s="11" t="n"/>
      <c r="H21" s="28" t="n"/>
      <c r="I21" s="28" t="n"/>
      <c r="J21" s="17" t="n"/>
      <c r="K21" s="17">
        <f>IF(J21="","",J21-K21)</f>
        <v/>
      </c>
      <c r="L21" s="11" t="n"/>
    </row>
    <row r="22" ht="22" customHeight="1">
      <c r="B22" s="15">
        <f>IF(C22="","PAS-"&amp;TEXT(COUNTA($C$5:C22),"000"))</f>
        <v/>
      </c>
      <c r="C22" s="13" t="n"/>
      <c r="D22" s="13" t="n"/>
      <c r="E22" s="13" t="n"/>
      <c r="F22" s="13" t="n"/>
      <c r="G22" s="13" t="n"/>
      <c r="H22" s="29" t="n"/>
      <c r="I22" s="29" t="n"/>
      <c r="J22" s="18" t="n"/>
      <c r="K22" s="18">
        <f>IF(J22="","",J22-K22)</f>
        <v/>
      </c>
      <c r="L22" s="13" t="n"/>
    </row>
    <row r="23" ht="22" customHeight="1">
      <c r="B23" s="16">
        <f>IF(C23="","PAS-"&amp;TEXT(COUNTA($C$5:C23),"000"))</f>
        <v/>
      </c>
      <c r="C23" s="11" t="n"/>
      <c r="D23" s="11" t="n"/>
      <c r="E23" s="11" t="n"/>
      <c r="F23" s="11" t="n"/>
      <c r="G23" s="11" t="n"/>
      <c r="H23" s="28" t="n"/>
      <c r="I23" s="28" t="n"/>
      <c r="J23" s="17" t="n"/>
      <c r="K23" s="17">
        <f>IF(J23="","",J23-K23)</f>
        <v/>
      </c>
      <c r="L23" s="11" t="n"/>
    </row>
    <row r="24" ht="22" customHeight="1">
      <c r="B24" s="15">
        <f>IF(C24="","PAS-"&amp;TEXT(COUNTA($C$5:C24),"000"))</f>
        <v/>
      </c>
      <c r="C24" s="13" t="n"/>
      <c r="D24" s="13" t="n"/>
      <c r="E24" s="13" t="n"/>
      <c r="F24" s="13" t="n"/>
      <c r="G24" s="13" t="n"/>
      <c r="H24" s="29" t="n"/>
      <c r="I24" s="29" t="n"/>
      <c r="J24" s="18" t="n"/>
      <c r="K24" s="18">
        <f>IF(J24="","",J24-K24)</f>
        <v/>
      </c>
      <c r="L24" s="13" t="n"/>
    </row>
    <row r="25" ht="22" customHeight="1">
      <c r="B25" s="16">
        <f>IF(C25="","PAS-"&amp;TEXT(COUNTA($C$5:C25),"000"))</f>
        <v/>
      </c>
      <c r="C25" s="11" t="n"/>
      <c r="D25" s="11" t="n"/>
      <c r="E25" s="11" t="n"/>
      <c r="F25" s="11" t="n"/>
      <c r="G25" s="11" t="n"/>
      <c r="H25" s="28" t="n"/>
      <c r="I25" s="28" t="n"/>
      <c r="J25" s="17" t="n"/>
      <c r="K25" s="17">
        <f>IF(J25="","",J25-K25)</f>
        <v/>
      </c>
      <c r="L25" s="11" t="n"/>
    </row>
    <row r="26" ht="22" customHeight="1">
      <c r="B26" s="15">
        <f>IF(C26="","PAS-"&amp;TEXT(COUNTA($C$5:C26),"000"))</f>
        <v/>
      </c>
      <c r="C26" s="13" t="n"/>
      <c r="D26" s="13" t="n"/>
      <c r="E26" s="13" t="n"/>
      <c r="F26" s="13" t="n"/>
      <c r="G26" s="13" t="n"/>
      <c r="H26" s="29" t="n"/>
      <c r="I26" s="29" t="n"/>
      <c r="J26" s="18" t="n"/>
      <c r="K26" s="18">
        <f>IF(J26="","",J26-K26)</f>
        <v/>
      </c>
      <c r="L26" s="13" t="n"/>
    </row>
    <row r="27" ht="22" customHeight="1">
      <c r="B27" s="16">
        <f>IF(C27="","PAS-"&amp;TEXT(COUNTA($C$5:C27),"000"))</f>
        <v/>
      </c>
      <c r="C27" s="11" t="n"/>
      <c r="D27" s="11" t="n"/>
      <c r="E27" s="11" t="n"/>
      <c r="F27" s="11" t="n"/>
      <c r="G27" s="11" t="n"/>
      <c r="H27" s="28" t="n"/>
      <c r="I27" s="28" t="n"/>
      <c r="J27" s="17" t="n"/>
      <c r="K27" s="17">
        <f>IF(J27="","",J27-K27)</f>
        <v/>
      </c>
      <c r="L27" s="11" t="n"/>
    </row>
    <row r="28" ht="22" customHeight="1">
      <c r="B28" s="15">
        <f>IF(C28="","PAS-"&amp;TEXT(COUNTA($C$5:C28),"000"))</f>
        <v/>
      </c>
      <c r="C28" s="13" t="n"/>
      <c r="D28" s="13" t="n"/>
      <c r="E28" s="13" t="n"/>
      <c r="F28" s="13" t="n"/>
      <c r="G28" s="13" t="n"/>
      <c r="H28" s="29" t="n"/>
      <c r="I28" s="29" t="n"/>
      <c r="J28" s="18" t="n"/>
      <c r="K28" s="18">
        <f>IF(J28="","",J28-K28)</f>
        <v/>
      </c>
      <c r="L28" s="13" t="n"/>
    </row>
    <row r="29" ht="22" customHeight="1">
      <c r="B29" s="16">
        <f>IF(C29="","PAS-"&amp;TEXT(COUNTA($C$5:C29),"000"))</f>
        <v/>
      </c>
      <c r="C29" s="11" t="n"/>
      <c r="D29" s="11" t="n"/>
      <c r="E29" s="11" t="n"/>
      <c r="F29" s="11" t="n"/>
      <c r="G29" s="11" t="n"/>
      <c r="H29" s="28" t="n"/>
      <c r="I29" s="28" t="n"/>
      <c r="J29" s="17" t="n"/>
      <c r="K29" s="17">
        <f>IF(J29="","",J29-K29)</f>
        <v/>
      </c>
      <c r="L29" s="11" t="n"/>
    </row>
    <row r="30" ht="22" customHeight="1">
      <c r="B30" s="15">
        <f>IF(C30="","PAS-"&amp;TEXT(COUNTA($C$5:C30),"000"))</f>
        <v/>
      </c>
      <c r="C30" s="13" t="n"/>
      <c r="D30" s="13" t="n"/>
      <c r="E30" s="13" t="n"/>
      <c r="F30" s="13" t="n"/>
      <c r="G30" s="13" t="n"/>
      <c r="H30" s="29" t="n"/>
      <c r="I30" s="29" t="n"/>
      <c r="J30" s="18" t="n"/>
      <c r="K30" s="18">
        <f>IF(J30="","",J30-K30)</f>
        <v/>
      </c>
      <c r="L30" s="13" t="n"/>
    </row>
    <row r="31" ht="22" customHeight="1">
      <c r="B31" s="16">
        <f>IF(C31="","PAS-"&amp;TEXT(COUNTA($C$5:C31),"000"))</f>
        <v/>
      </c>
      <c r="C31" s="11" t="n"/>
      <c r="D31" s="11" t="n"/>
      <c r="E31" s="11" t="n"/>
      <c r="F31" s="11" t="n"/>
      <c r="G31" s="11" t="n"/>
      <c r="H31" s="28" t="n"/>
      <c r="I31" s="28" t="n"/>
      <c r="J31" s="17" t="n"/>
      <c r="K31" s="17">
        <f>IF(J31="","",J31-K31)</f>
        <v/>
      </c>
      <c r="L31" s="11" t="n"/>
    </row>
    <row r="32" ht="22" customHeight="1">
      <c r="B32" s="15">
        <f>IF(C32="","PAS-"&amp;TEXT(COUNTA($C$5:C32),"000"))</f>
        <v/>
      </c>
      <c r="C32" s="13" t="n"/>
      <c r="D32" s="13" t="n"/>
      <c r="E32" s="13" t="n"/>
      <c r="F32" s="13" t="n"/>
      <c r="G32" s="13" t="n"/>
      <c r="H32" s="29" t="n"/>
      <c r="I32" s="29" t="n"/>
      <c r="J32" s="18" t="n"/>
      <c r="K32" s="18">
        <f>IF(J32="","",J32-K32)</f>
        <v/>
      </c>
      <c r="L32" s="13" t="n"/>
    </row>
    <row r="33" ht="22" customHeight="1">
      <c r="B33" s="16">
        <f>IF(C33="","PAS-"&amp;TEXT(COUNTA($C$5:C33),"000"))</f>
        <v/>
      </c>
      <c r="C33" s="11" t="n"/>
      <c r="D33" s="11" t="n"/>
      <c r="E33" s="11" t="n"/>
      <c r="F33" s="11" t="n"/>
      <c r="G33" s="11" t="n"/>
      <c r="H33" s="28" t="n"/>
      <c r="I33" s="28" t="n"/>
      <c r="J33" s="17" t="n"/>
      <c r="K33" s="17">
        <f>IF(J33="","",J33-K33)</f>
        <v/>
      </c>
      <c r="L33" s="11" t="n"/>
    </row>
    <row r="34" ht="22" customHeight="1">
      <c r="B34" s="15">
        <f>IF(C34="","PAS-"&amp;TEXT(COUNTA($C$5:C34),"000"))</f>
        <v/>
      </c>
      <c r="C34" s="13" t="n"/>
      <c r="D34" s="13" t="n"/>
      <c r="E34" s="13" t="n"/>
      <c r="F34" s="13" t="n"/>
      <c r="G34" s="13" t="n"/>
      <c r="H34" s="29" t="n"/>
      <c r="I34" s="29" t="n"/>
      <c r="J34" s="18" t="n"/>
      <c r="K34" s="18">
        <f>IF(J34="","",J34-K34)</f>
        <v/>
      </c>
      <c r="L34" s="13" t="n"/>
    </row>
    <row r="35" ht="22" customHeight="1">
      <c r="B35" s="16">
        <f>IF(C35="","PAS-"&amp;TEXT(COUNTA($C$5:C35),"000"))</f>
        <v/>
      </c>
      <c r="C35" s="11" t="n"/>
      <c r="D35" s="11" t="n"/>
      <c r="E35" s="11" t="n"/>
      <c r="F35" s="11" t="n"/>
      <c r="G35" s="11" t="n"/>
      <c r="H35" s="28" t="n"/>
      <c r="I35" s="28" t="n"/>
      <c r="J35" s="17" t="n"/>
      <c r="K35" s="17">
        <f>IF(J35="","",J35-K35)</f>
        <v/>
      </c>
      <c r="L35" s="11" t="n"/>
    </row>
    <row r="36" ht="22" customHeight="1">
      <c r="B36" s="15">
        <f>IF(C36="","PAS-"&amp;TEXT(COUNTA($C$5:C36),"000"))</f>
        <v/>
      </c>
      <c r="C36" s="13" t="n"/>
      <c r="D36" s="13" t="n"/>
      <c r="E36" s="13" t="n"/>
      <c r="F36" s="13" t="n"/>
      <c r="G36" s="13" t="n"/>
      <c r="H36" s="29" t="n"/>
      <c r="I36" s="29" t="n"/>
      <c r="J36" s="18" t="n"/>
      <c r="K36" s="18">
        <f>IF(J36="","",J36-K36)</f>
        <v/>
      </c>
      <c r="L36" s="13" t="n"/>
    </row>
    <row r="37" ht="22" customHeight="1">
      <c r="B37" s="16">
        <f>IF(C37="","PAS-"&amp;TEXT(COUNTA($C$5:C37),"000"))</f>
        <v/>
      </c>
      <c r="C37" s="11" t="n"/>
      <c r="D37" s="11" t="n"/>
      <c r="E37" s="11" t="n"/>
      <c r="F37" s="11" t="n"/>
      <c r="G37" s="11" t="n"/>
      <c r="H37" s="28" t="n"/>
      <c r="I37" s="28" t="n"/>
      <c r="J37" s="17" t="n"/>
      <c r="K37" s="17">
        <f>IF(J37="","",J37-K37)</f>
        <v/>
      </c>
      <c r="L37" s="11" t="n"/>
    </row>
    <row r="38" ht="22" customHeight="1">
      <c r="B38" s="15">
        <f>IF(C38="","PAS-"&amp;TEXT(COUNTA($C$5:C38),"000"))</f>
        <v/>
      </c>
      <c r="C38" s="13" t="n"/>
      <c r="D38" s="13" t="n"/>
      <c r="E38" s="13" t="n"/>
      <c r="F38" s="13" t="n"/>
      <c r="G38" s="13" t="n"/>
      <c r="H38" s="29" t="n"/>
      <c r="I38" s="29" t="n"/>
      <c r="J38" s="18" t="n"/>
      <c r="K38" s="18">
        <f>IF(J38="","",J38-K38)</f>
        <v/>
      </c>
      <c r="L38" s="13" t="n"/>
    </row>
    <row r="39" ht="22" customHeight="1">
      <c r="B39" s="16">
        <f>IF(C39="","PAS-"&amp;TEXT(COUNTA($C$5:C39),"000"))</f>
        <v/>
      </c>
      <c r="C39" s="11" t="n"/>
      <c r="D39" s="11" t="n"/>
      <c r="E39" s="11" t="n"/>
      <c r="F39" s="11" t="n"/>
      <c r="G39" s="11" t="n"/>
      <c r="H39" s="28" t="n"/>
      <c r="I39" s="28" t="n"/>
      <c r="J39" s="17" t="n"/>
      <c r="K39" s="17">
        <f>IF(J39="","",J39-K39)</f>
        <v/>
      </c>
      <c r="L39" s="11" t="n"/>
    </row>
    <row r="40" ht="22" customHeight="1">
      <c r="B40" s="15">
        <f>IF(C40="","PAS-"&amp;TEXT(COUNTA($C$5:C40),"000"))</f>
        <v/>
      </c>
      <c r="C40" s="13" t="n"/>
      <c r="D40" s="13" t="n"/>
      <c r="E40" s="13" t="n"/>
      <c r="F40" s="13" t="n"/>
      <c r="G40" s="13" t="n"/>
      <c r="H40" s="29" t="n"/>
      <c r="I40" s="29" t="n"/>
      <c r="J40" s="18" t="n"/>
      <c r="K40" s="18">
        <f>IF(J40="","",J40-K40)</f>
        <v/>
      </c>
      <c r="L40" s="13" t="n"/>
    </row>
    <row r="41" ht="22" customHeight="1">
      <c r="B41" s="16">
        <f>IF(C41="","PAS-"&amp;TEXT(COUNTA($C$5:C41),"000"))</f>
        <v/>
      </c>
      <c r="C41" s="11" t="n"/>
      <c r="D41" s="11" t="n"/>
      <c r="E41" s="11" t="n"/>
      <c r="F41" s="11" t="n"/>
      <c r="G41" s="11" t="n"/>
      <c r="H41" s="28" t="n"/>
      <c r="I41" s="28" t="n"/>
      <c r="J41" s="17" t="n"/>
      <c r="K41" s="17">
        <f>IF(J41="","",J41-K41)</f>
        <v/>
      </c>
      <c r="L41" s="11" t="n"/>
    </row>
    <row r="42" ht="22" customHeight="1">
      <c r="B42" s="15">
        <f>IF(C42="","PAS-"&amp;TEXT(COUNTA($C$5:C42),"000"))</f>
        <v/>
      </c>
      <c r="C42" s="13" t="n"/>
      <c r="D42" s="13" t="n"/>
      <c r="E42" s="13" t="n"/>
      <c r="F42" s="13" t="n"/>
      <c r="G42" s="13" t="n"/>
      <c r="H42" s="29" t="n"/>
      <c r="I42" s="29" t="n"/>
      <c r="J42" s="18" t="n"/>
      <c r="K42" s="18">
        <f>IF(J42="","",J42-K42)</f>
        <v/>
      </c>
      <c r="L42" s="13" t="n"/>
    </row>
    <row r="43" ht="22" customHeight="1">
      <c r="B43" s="16">
        <f>IF(C43="","PAS-"&amp;TEXT(COUNTA($C$5:C43),"000"))</f>
        <v/>
      </c>
      <c r="C43" s="11" t="n"/>
      <c r="D43" s="11" t="n"/>
      <c r="E43" s="11" t="n"/>
      <c r="F43" s="11" t="n"/>
      <c r="G43" s="11" t="n"/>
      <c r="H43" s="28" t="n"/>
      <c r="I43" s="28" t="n"/>
      <c r="J43" s="17" t="n"/>
      <c r="K43" s="17">
        <f>IF(J43="","",J43-K43)</f>
        <v/>
      </c>
      <c r="L43" s="11" t="n"/>
    </row>
    <row r="44" ht="22" customHeight="1">
      <c r="B44" s="15">
        <f>IF(C44="","PAS-"&amp;TEXT(COUNTA($C$5:C44),"000"))</f>
        <v/>
      </c>
      <c r="C44" s="13" t="n"/>
      <c r="D44" s="13" t="n"/>
      <c r="E44" s="13" t="n"/>
      <c r="F44" s="13" t="n"/>
      <c r="G44" s="13" t="n"/>
      <c r="H44" s="29" t="n"/>
      <c r="I44" s="29" t="n"/>
      <c r="J44" s="18" t="n"/>
      <c r="K44" s="18">
        <f>IF(J44="","",J44-K44)</f>
        <v/>
      </c>
      <c r="L44" s="13" t="n"/>
    </row>
    <row r="45" ht="22" customHeight="1">
      <c r="B45" s="16">
        <f>IF(C45="","PAS-"&amp;TEXT(COUNTA($C$5:C45),"000"))</f>
        <v/>
      </c>
      <c r="C45" s="11" t="n"/>
      <c r="D45" s="11" t="n"/>
      <c r="E45" s="11" t="n"/>
      <c r="F45" s="11" t="n"/>
      <c r="G45" s="11" t="n"/>
      <c r="H45" s="28" t="n"/>
      <c r="I45" s="28" t="n"/>
      <c r="J45" s="17" t="n"/>
      <c r="K45" s="17">
        <f>IF(J45="","",J45-K45)</f>
        <v/>
      </c>
      <c r="L45" s="11" t="n"/>
    </row>
    <row r="46" ht="22" customHeight="1">
      <c r="B46" s="15">
        <f>IF(C46="","PAS-"&amp;TEXT(COUNTA($C$5:C46),"000"))</f>
        <v/>
      </c>
      <c r="C46" s="13" t="n"/>
      <c r="D46" s="13" t="n"/>
      <c r="E46" s="13" t="n"/>
      <c r="F46" s="13" t="n"/>
      <c r="G46" s="13" t="n"/>
      <c r="H46" s="29" t="n"/>
      <c r="I46" s="29" t="n"/>
      <c r="J46" s="18" t="n"/>
      <c r="K46" s="18">
        <f>IF(J46="","",J46-K46)</f>
        <v/>
      </c>
      <c r="L46" s="13" t="n"/>
    </row>
    <row r="47" ht="22" customHeight="1">
      <c r="B47" s="16">
        <f>IF(C47="","PAS-"&amp;TEXT(COUNTA($C$5:C47),"000"))</f>
        <v/>
      </c>
      <c r="C47" s="11" t="n"/>
      <c r="D47" s="11" t="n"/>
      <c r="E47" s="11" t="n"/>
      <c r="F47" s="11" t="n"/>
      <c r="G47" s="11" t="n"/>
      <c r="H47" s="28" t="n"/>
      <c r="I47" s="28" t="n"/>
      <c r="J47" s="17" t="n"/>
      <c r="K47" s="17">
        <f>IF(J47="","",J47-K47)</f>
        <v/>
      </c>
      <c r="L47" s="11" t="n"/>
    </row>
    <row r="48" ht="22" customHeight="1">
      <c r="B48" s="15">
        <f>IF(C48="","PAS-"&amp;TEXT(COUNTA($C$5:C48),"000"))</f>
        <v/>
      </c>
      <c r="C48" s="13" t="n"/>
      <c r="D48" s="13" t="n"/>
      <c r="E48" s="13" t="n"/>
      <c r="F48" s="13" t="n"/>
      <c r="G48" s="13" t="n"/>
      <c r="H48" s="29" t="n"/>
      <c r="I48" s="29" t="n"/>
      <c r="J48" s="18" t="n"/>
      <c r="K48" s="18">
        <f>IF(J48="","",J48-K48)</f>
        <v/>
      </c>
      <c r="L48" s="13" t="n"/>
    </row>
    <row r="49" ht="22" customHeight="1">
      <c r="B49" s="16">
        <f>IF(C49="","PAS-"&amp;TEXT(COUNTA($C$5:C49),"000"))</f>
        <v/>
      </c>
      <c r="C49" s="11" t="n"/>
      <c r="D49" s="11" t="n"/>
      <c r="E49" s="11" t="n"/>
      <c r="F49" s="11" t="n"/>
      <c r="G49" s="11" t="n"/>
      <c r="H49" s="28" t="n"/>
      <c r="I49" s="28" t="n"/>
      <c r="J49" s="17" t="n"/>
      <c r="K49" s="17">
        <f>IF(J49="","",J49-K49)</f>
        <v/>
      </c>
      <c r="L49" s="11" t="n"/>
    </row>
    <row r="50" ht="22" customHeight="1">
      <c r="B50" s="15">
        <f>IF(C50="","PAS-"&amp;TEXT(COUNTA($C$5:C50),"000"))</f>
        <v/>
      </c>
      <c r="C50" s="13" t="n"/>
      <c r="D50" s="13" t="n"/>
      <c r="E50" s="13" t="n"/>
      <c r="F50" s="13" t="n"/>
      <c r="G50" s="13" t="n"/>
      <c r="H50" s="29" t="n"/>
      <c r="I50" s="29" t="n"/>
      <c r="J50" s="18" t="n"/>
      <c r="K50" s="18">
        <f>IF(J50="","",J50-K50)</f>
        <v/>
      </c>
      <c r="L50" s="13" t="n"/>
    </row>
    <row r="51" ht="22" customHeight="1">
      <c r="B51" s="16">
        <f>IF(C51="","PAS-"&amp;TEXT(COUNTA($C$5:C51),"000"))</f>
        <v/>
      </c>
      <c r="C51" s="11" t="n"/>
      <c r="D51" s="11" t="n"/>
      <c r="E51" s="11" t="n"/>
      <c r="F51" s="11" t="n"/>
      <c r="G51" s="11" t="n"/>
      <c r="H51" s="28" t="n"/>
      <c r="I51" s="28" t="n"/>
      <c r="J51" s="17" t="n"/>
      <c r="K51" s="17">
        <f>IF(J51="","",J51-K51)</f>
        <v/>
      </c>
      <c r="L51" s="11" t="n"/>
    </row>
    <row r="52" ht="22" customHeight="1">
      <c r="B52" s="15">
        <f>IF(C52="","PAS-"&amp;TEXT(COUNTA($C$5:C52),"000"))</f>
        <v/>
      </c>
      <c r="C52" s="13" t="n"/>
      <c r="D52" s="13" t="n"/>
      <c r="E52" s="13" t="n"/>
      <c r="F52" s="13" t="n"/>
      <c r="G52" s="13" t="n"/>
      <c r="H52" s="29" t="n"/>
      <c r="I52" s="29" t="n"/>
      <c r="J52" s="18" t="n"/>
      <c r="K52" s="18">
        <f>IF(J52="","",J52-K52)</f>
        <v/>
      </c>
      <c r="L52" s="13" t="n"/>
    </row>
    <row r="53" ht="22" customHeight="1">
      <c r="B53" s="16">
        <f>IF(C53="","PAS-"&amp;TEXT(COUNTA($C$5:C53),"000"))</f>
        <v/>
      </c>
      <c r="C53" s="11" t="n"/>
      <c r="D53" s="11" t="n"/>
      <c r="E53" s="11" t="n"/>
      <c r="F53" s="11" t="n"/>
      <c r="G53" s="11" t="n"/>
      <c r="H53" s="28" t="n"/>
      <c r="I53" s="28" t="n"/>
      <c r="J53" s="17" t="n"/>
      <c r="K53" s="17">
        <f>IF(J53="","",J53-K53)</f>
        <v/>
      </c>
      <c r="L53" s="11" t="n"/>
    </row>
    <row r="54" ht="22" customHeight="1">
      <c r="B54" s="15">
        <f>IF(C54="","PAS-"&amp;TEXT(COUNTA($C$5:C54),"000"))</f>
        <v/>
      </c>
      <c r="C54" s="13" t="n"/>
      <c r="D54" s="13" t="n"/>
      <c r="E54" s="13" t="n"/>
      <c r="F54" s="13" t="n"/>
      <c r="G54" s="13" t="n"/>
      <c r="H54" s="29" t="n"/>
      <c r="I54" s="29" t="n"/>
      <c r="J54" s="18" t="n"/>
      <c r="K54" s="18">
        <f>IF(J54="","",J54-K54)</f>
        <v/>
      </c>
      <c r="L54" s="13" t="n"/>
    </row>
    <row r="55" ht="22" customHeight="1">
      <c r="B55" s="16">
        <f>IF(C55="","PAS-"&amp;TEXT(COUNTA($C$5:C55),"000"))</f>
        <v/>
      </c>
      <c r="C55" s="11" t="n"/>
      <c r="D55" s="11" t="n"/>
      <c r="E55" s="11" t="n"/>
      <c r="F55" s="11" t="n"/>
      <c r="G55" s="11" t="n"/>
      <c r="H55" s="28" t="n"/>
      <c r="I55" s="28" t="n"/>
      <c r="J55" s="17" t="n"/>
      <c r="K55" s="17">
        <f>IF(J55="","",J55-K55)</f>
        <v/>
      </c>
      <c r="L55" s="11" t="n"/>
    </row>
    <row r="56" ht="22" customHeight="1">
      <c r="B56" s="15">
        <f>IF(C56="","PAS-"&amp;TEXT(COUNTA($C$5:C56),"000"))</f>
        <v/>
      </c>
      <c r="C56" s="13" t="n"/>
      <c r="D56" s="13" t="n"/>
      <c r="E56" s="13" t="n"/>
      <c r="F56" s="13" t="n"/>
      <c r="G56" s="13" t="n"/>
      <c r="H56" s="29" t="n"/>
      <c r="I56" s="29" t="n"/>
      <c r="J56" s="18" t="n"/>
      <c r="K56" s="18">
        <f>IF(J56="","",J56-K56)</f>
        <v/>
      </c>
      <c r="L56" s="13" t="n"/>
    </row>
    <row r="57" ht="22" customHeight="1">
      <c r="B57" s="16">
        <f>IF(C57="","PAS-"&amp;TEXT(COUNTA($C$5:C57),"000"))</f>
        <v/>
      </c>
      <c r="C57" s="11" t="n"/>
      <c r="D57" s="11" t="n"/>
      <c r="E57" s="11" t="n"/>
      <c r="F57" s="11" t="n"/>
      <c r="G57" s="11" t="n"/>
      <c r="H57" s="28" t="n"/>
      <c r="I57" s="28" t="n"/>
      <c r="J57" s="17" t="n"/>
      <c r="K57" s="17">
        <f>IF(J57="","",J57-K57)</f>
        <v/>
      </c>
      <c r="L57" s="11" t="n"/>
    </row>
    <row r="58" ht="22" customHeight="1">
      <c r="B58" s="15">
        <f>IF(C58="","PAS-"&amp;TEXT(COUNTA($C$5:C58),"000"))</f>
        <v/>
      </c>
      <c r="C58" s="13" t="n"/>
      <c r="D58" s="13" t="n"/>
      <c r="E58" s="13" t="n"/>
      <c r="F58" s="13" t="n"/>
      <c r="G58" s="13" t="n"/>
      <c r="H58" s="29" t="n"/>
      <c r="I58" s="29" t="n"/>
      <c r="J58" s="18" t="n"/>
      <c r="K58" s="18">
        <f>IF(J58="","",J58-K58)</f>
        <v/>
      </c>
      <c r="L58" s="13" t="n"/>
    </row>
    <row r="59" ht="22" customHeight="1">
      <c r="B59" s="16">
        <f>IF(C59="","PAS-"&amp;TEXT(COUNTA($C$5:C59),"000"))</f>
        <v/>
      </c>
      <c r="C59" s="11" t="n"/>
      <c r="D59" s="11" t="n"/>
      <c r="E59" s="11" t="n"/>
      <c r="F59" s="11" t="n"/>
      <c r="G59" s="11" t="n"/>
      <c r="H59" s="28" t="n"/>
      <c r="I59" s="28" t="n"/>
      <c r="J59" s="17" t="n"/>
      <c r="K59" s="17">
        <f>IF(J59="","",J59-K59)</f>
        <v/>
      </c>
      <c r="L59" s="11" t="n"/>
    </row>
    <row r="60" ht="22" customHeight="1">
      <c r="B60" s="15">
        <f>IF(C60="","PAS-"&amp;TEXT(COUNTA($C$5:C60),"000"))</f>
        <v/>
      </c>
      <c r="C60" s="13" t="n"/>
      <c r="D60" s="13" t="n"/>
      <c r="E60" s="13" t="n"/>
      <c r="F60" s="13" t="n"/>
      <c r="G60" s="13" t="n"/>
      <c r="H60" s="29" t="n"/>
      <c r="I60" s="29" t="n"/>
      <c r="J60" s="18" t="n"/>
      <c r="K60" s="18">
        <f>IF(J60="","",J60-K60)</f>
        <v/>
      </c>
      <c r="L60" s="13" t="n"/>
    </row>
    <row r="61" ht="22" customHeight="1">
      <c r="B61" s="16">
        <f>IF(C61="","PAS-"&amp;TEXT(COUNTA($C$5:C61),"000"))</f>
        <v/>
      </c>
      <c r="C61" s="11" t="n"/>
      <c r="D61" s="11" t="n"/>
      <c r="E61" s="11" t="n"/>
      <c r="F61" s="11" t="n"/>
      <c r="G61" s="11" t="n"/>
      <c r="H61" s="28" t="n"/>
      <c r="I61" s="28" t="n"/>
      <c r="J61" s="17" t="n"/>
      <c r="K61" s="17">
        <f>IF(J61="","",J61-K61)</f>
        <v/>
      </c>
      <c r="L61" s="11" t="n"/>
    </row>
    <row r="62" ht="22" customHeight="1">
      <c r="B62" s="15">
        <f>IF(C62="","PAS-"&amp;TEXT(COUNTA($C$5:C62),"000"))</f>
        <v/>
      </c>
      <c r="C62" s="13" t="n"/>
      <c r="D62" s="13" t="n"/>
      <c r="E62" s="13" t="n"/>
      <c r="F62" s="13" t="n"/>
      <c r="G62" s="13" t="n"/>
      <c r="H62" s="29" t="n"/>
      <c r="I62" s="29" t="n"/>
      <c r="J62" s="18" t="n"/>
      <c r="K62" s="18">
        <f>IF(J62="","",J62-K62)</f>
        <v/>
      </c>
      <c r="L62" s="13" t="n"/>
    </row>
    <row r="63" ht="22" customHeight="1">
      <c r="B63" s="16">
        <f>IF(C63="","PAS-"&amp;TEXT(COUNTA($C$5:C63),"000"))</f>
        <v/>
      </c>
      <c r="C63" s="11" t="n"/>
      <c r="D63" s="11" t="n"/>
      <c r="E63" s="11" t="n"/>
      <c r="F63" s="11" t="n"/>
      <c r="G63" s="11" t="n"/>
      <c r="H63" s="28" t="n"/>
      <c r="I63" s="28" t="n"/>
      <c r="J63" s="17" t="n"/>
      <c r="K63" s="17">
        <f>IF(J63="","",J63-K63)</f>
        <v/>
      </c>
      <c r="L63" s="11" t="n"/>
    </row>
    <row r="64" ht="22" customHeight="1">
      <c r="B64" s="15">
        <f>IF(C64="","PAS-"&amp;TEXT(COUNTA($C$5:C64),"000"))</f>
        <v/>
      </c>
      <c r="C64" s="13" t="n"/>
      <c r="D64" s="13" t="n"/>
      <c r="E64" s="13" t="n"/>
      <c r="F64" s="13" t="n"/>
      <c r="G64" s="13" t="n"/>
      <c r="H64" s="29" t="n"/>
      <c r="I64" s="29" t="n"/>
      <c r="J64" s="18" t="n"/>
      <c r="K64" s="18">
        <f>IF(J64="","",J64-K64)</f>
        <v/>
      </c>
      <c r="L64" s="13" t="n"/>
    </row>
    <row r="65" ht="22" customHeight="1">
      <c r="B65" s="16">
        <f>IF(C65="","PAS-"&amp;TEXT(COUNTA($C$5:C65),"000"))</f>
        <v/>
      </c>
      <c r="C65" s="11" t="n"/>
      <c r="D65" s="11" t="n"/>
      <c r="E65" s="11" t="n"/>
      <c r="F65" s="11" t="n"/>
      <c r="G65" s="11" t="n"/>
      <c r="H65" s="28" t="n"/>
      <c r="I65" s="28" t="n"/>
      <c r="J65" s="17" t="n"/>
      <c r="K65" s="17">
        <f>IF(J65="","",J65-K65)</f>
        <v/>
      </c>
      <c r="L65" s="11" t="n"/>
    </row>
    <row r="66" ht="22" customHeight="1">
      <c r="B66" s="15">
        <f>IF(C66="","PAS-"&amp;TEXT(COUNTA($C$5:C66),"000"))</f>
        <v/>
      </c>
      <c r="C66" s="13" t="n"/>
      <c r="D66" s="13" t="n"/>
      <c r="E66" s="13" t="n"/>
      <c r="F66" s="13" t="n"/>
      <c r="G66" s="13" t="n"/>
      <c r="H66" s="29" t="n"/>
      <c r="I66" s="29" t="n"/>
      <c r="J66" s="18" t="n"/>
      <c r="K66" s="18">
        <f>IF(J66="","",J66-K66)</f>
        <v/>
      </c>
      <c r="L66" s="13" t="n"/>
    </row>
    <row r="67" ht="22" customHeight="1">
      <c r="B67" s="16">
        <f>IF(C67="","PAS-"&amp;TEXT(COUNTA($C$5:C67),"000"))</f>
        <v/>
      </c>
      <c r="C67" s="11" t="n"/>
      <c r="D67" s="11" t="n"/>
      <c r="E67" s="11" t="n"/>
      <c r="F67" s="11" t="n"/>
      <c r="G67" s="11" t="n"/>
      <c r="H67" s="28" t="n"/>
      <c r="I67" s="28" t="n"/>
      <c r="J67" s="17" t="n"/>
      <c r="K67" s="17">
        <f>IF(J67="","",J67-K67)</f>
        <v/>
      </c>
      <c r="L67" s="11" t="n"/>
    </row>
    <row r="68" ht="22" customHeight="1">
      <c r="B68" s="15">
        <f>IF(C68="","PAS-"&amp;TEXT(COUNTA($C$5:C68),"000"))</f>
        <v/>
      </c>
      <c r="C68" s="13" t="n"/>
      <c r="D68" s="13" t="n"/>
      <c r="E68" s="13" t="n"/>
      <c r="F68" s="13" t="n"/>
      <c r="G68" s="13" t="n"/>
      <c r="H68" s="29" t="n"/>
      <c r="I68" s="29" t="n"/>
      <c r="J68" s="18" t="n"/>
      <c r="K68" s="18">
        <f>IF(J68="","",J68-K68)</f>
        <v/>
      </c>
      <c r="L68" s="13" t="n"/>
    </row>
    <row r="69" ht="22" customHeight="1">
      <c r="B69" s="16">
        <f>IF(C69="","PAS-"&amp;TEXT(COUNTA($C$5:C69),"000"))</f>
        <v/>
      </c>
      <c r="C69" s="11" t="n"/>
      <c r="D69" s="11" t="n"/>
      <c r="E69" s="11" t="n"/>
      <c r="F69" s="11" t="n"/>
      <c r="G69" s="11" t="n"/>
      <c r="H69" s="28" t="n"/>
      <c r="I69" s="28" t="n"/>
      <c r="J69" s="17" t="n"/>
      <c r="K69" s="17">
        <f>IF(J69="","",J69-K69)</f>
        <v/>
      </c>
      <c r="L69" s="11" t="n"/>
    </row>
    <row r="70" ht="22" customHeight="1">
      <c r="B70" s="15">
        <f>IF(C70="","PAS-"&amp;TEXT(COUNTA($C$5:C70),"000"))</f>
        <v/>
      </c>
      <c r="C70" s="13" t="n"/>
      <c r="D70" s="13" t="n"/>
      <c r="E70" s="13" t="n"/>
      <c r="F70" s="13" t="n"/>
      <c r="G70" s="13" t="n"/>
      <c r="H70" s="29" t="n"/>
      <c r="I70" s="29" t="n"/>
      <c r="J70" s="18" t="n"/>
      <c r="K70" s="18">
        <f>IF(J70="","",J70-K70)</f>
        <v/>
      </c>
      <c r="L70" s="13" t="n"/>
    </row>
    <row r="71" ht="22" customHeight="1">
      <c r="B71" s="16">
        <f>IF(C71="","PAS-"&amp;TEXT(COUNTA($C$5:C71),"000"))</f>
        <v/>
      </c>
      <c r="C71" s="11" t="n"/>
      <c r="D71" s="11" t="n"/>
      <c r="E71" s="11" t="n"/>
      <c r="F71" s="11" t="n"/>
      <c r="G71" s="11" t="n"/>
      <c r="H71" s="28" t="n"/>
      <c r="I71" s="28" t="n"/>
      <c r="J71" s="17" t="n"/>
      <c r="K71" s="17">
        <f>IF(J71="","",J71-K71)</f>
        <v/>
      </c>
      <c r="L71" s="11" t="n"/>
    </row>
    <row r="72" ht="22" customHeight="1">
      <c r="B72" s="15">
        <f>IF(C72="","PAS-"&amp;TEXT(COUNTA($C$5:C72),"000"))</f>
        <v/>
      </c>
      <c r="C72" s="13" t="n"/>
      <c r="D72" s="13" t="n"/>
      <c r="E72" s="13" t="n"/>
      <c r="F72" s="13" t="n"/>
      <c r="G72" s="13" t="n"/>
      <c r="H72" s="29" t="n"/>
      <c r="I72" s="29" t="n"/>
      <c r="J72" s="18" t="n"/>
      <c r="K72" s="18">
        <f>IF(J72="","",J72-K72)</f>
        <v/>
      </c>
      <c r="L72" s="13" t="n"/>
    </row>
    <row r="73" ht="22" customHeight="1">
      <c r="B73" s="16">
        <f>IF(C73="","PAS-"&amp;TEXT(COUNTA($C$5:C73),"000"))</f>
        <v/>
      </c>
      <c r="C73" s="11" t="n"/>
      <c r="D73" s="11" t="n"/>
      <c r="E73" s="11" t="n"/>
      <c r="F73" s="11" t="n"/>
      <c r="G73" s="11" t="n"/>
      <c r="H73" s="28" t="n"/>
      <c r="I73" s="28" t="n"/>
      <c r="J73" s="17" t="n"/>
      <c r="K73" s="17">
        <f>IF(J73="","",J73-K73)</f>
        <v/>
      </c>
      <c r="L73" s="11" t="n"/>
    </row>
    <row r="74" ht="22" customHeight="1">
      <c r="B74" s="15">
        <f>IF(C74="","PAS-"&amp;TEXT(COUNTA($C$5:C74),"000"))</f>
        <v/>
      </c>
      <c r="C74" s="13" t="n"/>
      <c r="D74" s="13" t="n"/>
      <c r="E74" s="13" t="n"/>
      <c r="F74" s="13" t="n"/>
      <c r="G74" s="13" t="n"/>
      <c r="H74" s="29" t="n"/>
      <c r="I74" s="29" t="n"/>
      <c r="J74" s="18" t="n"/>
      <c r="K74" s="18">
        <f>IF(J74="","",J74-K74)</f>
        <v/>
      </c>
      <c r="L74" s="13" t="n"/>
    </row>
    <row r="75" ht="22" customHeight="1">
      <c r="B75" s="16">
        <f>IF(C75="","PAS-"&amp;TEXT(COUNTA($C$5:C75),"000"))</f>
        <v/>
      </c>
      <c r="C75" s="11" t="n"/>
      <c r="D75" s="11" t="n"/>
      <c r="E75" s="11" t="n"/>
      <c r="F75" s="11" t="n"/>
      <c r="G75" s="11" t="n"/>
      <c r="H75" s="28" t="n"/>
      <c r="I75" s="28" t="n"/>
      <c r="J75" s="17" t="n"/>
      <c r="K75" s="17">
        <f>IF(J75="","",J75-K75)</f>
        <v/>
      </c>
      <c r="L75" s="11" t="n"/>
    </row>
    <row r="76" ht="22" customHeight="1">
      <c r="B76" s="15">
        <f>IF(C76="","PAS-"&amp;TEXT(COUNTA($C$5:C76),"000"))</f>
        <v/>
      </c>
      <c r="C76" s="13" t="n"/>
      <c r="D76" s="13" t="n"/>
      <c r="E76" s="13" t="n"/>
      <c r="F76" s="13" t="n"/>
      <c r="G76" s="13" t="n"/>
      <c r="H76" s="29" t="n"/>
      <c r="I76" s="29" t="n"/>
      <c r="J76" s="18" t="n"/>
      <c r="K76" s="18">
        <f>IF(J76="","",J76-K76)</f>
        <v/>
      </c>
      <c r="L76" s="13" t="n"/>
    </row>
    <row r="77" ht="22" customHeight="1">
      <c r="B77" s="16">
        <f>IF(C77="","PAS-"&amp;TEXT(COUNTA($C$5:C77),"000"))</f>
        <v/>
      </c>
      <c r="C77" s="11" t="n"/>
      <c r="D77" s="11" t="n"/>
      <c r="E77" s="11" t="n"/>
      <c r="F77" s="11" t="n"/>
      <c r="G77" s="11" t="n"/>
      <c r="H77" s="28" t="n"/>
      <c r="I77" s="28" t="n"/>
      <c r="J77" s="17" t="n"/>
      <c r="K77" s="17">
        <f>IF(J77="","",J77-K77)</f>
        <v/>
      </c>
      <c r="L77" s="11" t="n"/>
    </row>
    <row r="78" ht="22" customHeight="1">
      <c r="B78" s="15">
        <f>IF(C78="","PAS-"&amp;TEXT(COUNTA($C$5:C78),"000"))</f>
        <v/>
      </c>
      <c r="C78" s="13" t="n"/>
      <c r="D78" s="13" t="n"/>
      <c r="E78" s="13" t="n"/>
      <c r="F78" s="13" t="n"/>
      <c r="G78" s="13" t="n"/>
      <c r="H78" s="29" t="n"/>
      <c r="I78" s="29" t="n"/>
      <c r="J78" s="18" t="n"/>
      <c r="K78" s="18">
        <f>IF(J78="","",J78-K78)</f>
        <v/>
      </c>
      <c r="L78" s="13" t="n"/>
    </row>
    <row r="79" ht="22" customHeight="1">
      <c r="B79" s="16">
        <f>IF(C79="","PAS-"&amp;TEXT(COUNTA($C$5:C79),"000"))</f>
        <v/>
      </c>
      <c r="C79" s="11" t="n"/>
      <c r="D79" s="11" t="n"/>
      <c r="E79" s="11" t="n"/>
      <c r="F79" s="11" t="n"/>
      <c r="G79" s="11" t="n"/>
      <c r="H79" s="28" t="n"/>
      <c r="I79" s="28" t="n"/>
      <c r="J79" s="17" t="n"/>
      <c r="K79" s="17">
        <f>IF(J79="","",J79-K79)</f>
        <v/>
      </c>
      <c r="L79" s="11" t="n"/>
    </row>
    <row r="80" ht="22" customHeight="1">
      <c r="B80" s="15">
        <f>IF(C80="","PAS-"&amp;TEXT(COUNTA($C$5:C80),"000"))</f>
        <v/>
      </c>
      <c r="C80" s="13" t="n"/>
      <c r="D80" s="13" t="n"/>
      <c r="E80" s="13" t="n"/>
      <c r="F80" s="13" t="n"/>
      <c r="G80" s="13" t="n"/>
      <c r="H80" s="29" t="n"/>
      <c r="I80" s="29" t="n"/>
      <c r="J80" s="18" t="n"/>
      <c r="K80" s="18">
        <f>IF(J80="","",J80-K80)</f>
        <v/>
      </c>
      <c r="L80" s="13" t="n"/>
    </row>
    <row r="81" ht="22" customHeight="1">
      <c r="B81" s="16">
        <f>IF(C81="","PAS-"&amp;TEXT(COUNTA($C$5:C81),"000"))</f>
        <v/>
      </c>
      <c r="C81" s="11" t="n"/>
      <c r="D81" s="11" t="n"/>
      <c r="E81" s="11" t="n"/>
      <c r="F81" s="11" t="n"/>
      <c r="G81" s="11" t="n"/>
      <c r="H81" s="28" t="n"/>
      <c r="I81" s="28" t="n"/>
      <c r="J81" s="17" t="n"/>
      <c r="K81" s="17">
        <f>IF(J81="","",J81-K81)</f>
        <v/>
      </c>
      <c r="L81" s="11" t="n"/>
    </row>
    <row r="82" ht="22" customHeight="1">
      <c r="B82" s="15">
        <f>IF(C82="","PAS-"&amp;TEXT(COUNTA($C$5:C82),"000"))</f>
        <v/>
      </c>
      <c r="C82" s="13" t="n"/>
      <c r="D82" s="13" t="n"/>
      <c r="E82" s="13" t="n"/>
      <c r="F82" s="13" t="n"/>
      <c r="G82" s="13" t="n"/>
      <c r="H82" s="29" t="n"/>
      <c r="I82" s="29" t="n"/>
      <c r="J82" s="18" t="n"/>
      <c r="K82" s="18">
        <f>IF(J82="","",J82-K82)</f>
        <v/>
      </c>
      <c r="L82" s="13" t="n"/>
    </row>
    <row r="83" ht="22" customHeight="1">
      <c r="B83" s="16">
        <f>IF(C83="","PAS-"&amp;TEXT(COUNTA($C$5:C83),"000"))</f>
        <v/>
      </c>
      <c r="C83" s="11" t="n"/>
      <c r="D83" s="11" t="n"/>
      <c r="E83" s="11" t="n"/>
      <c r="F83" s="11" t="n"/>
      <c r="G83" s="11" t="n"/>
      <c r="H83" s="28" t="n"/>
      <c r="I83" s="28" t="n"/>
      <c r="J83" s="17" t="n"/>
      <c r="K83" s="17">
        <f>IF(J83="","",J83-K83)</f>
        <v/>
      </c>
      <c r="L83" s="11" t="n"/>
    </row>
    <row r="84" ht="22" customHeight="1">
      <c r="B84" s="15">
        <f>IF(C84="","PAS-"&amp;TEXT(COUNTA($C$5:C84),"000"))</f>
        <v/>
      </c>
      <c r="C84" s="13" t="n"/>
      <c r="D84" s="13" t="n"/>
      <c r="E84" s="13" t="n"/>
      <c r="F84" s="13" t="n"/>
      <c r="G84" s="13" t="n"/>
      <c r="H84" s="29" t="n"/>
      <c r="I84" s="29" t="n"/>
      <c r="J84" s="18" t="n"/>
      <c r="K84" s="18">
        <f>IF(J84="","",J84-K84)</f>
        <v/>
      </c>
      <c r="L84" s="13" t="n"/>
    </row>
    <row r="85" ht="22" customHeight="1">
      <c r="B85" s="16">
        <f>IF(C85="","PAS-"&amp;TEXT(COUNTA($C$5:C85),"000"))</f>
        <v/>
      </c>
      <c r="C85" s="11" t="n"/>
      <c r="D85" s="11" t="n"/>
      <c r="E85" s="11" t="n"/>
      <c r="F85" s="11" t="n"/>
      <c r="G85" s="11" t="n"/>
      <c r="H85" s="28" t="n"/>
      <c r="I85" s="28" t="n"/>
      <c r="J85" s="17" t="n"/>
      <c r="K85" s="17">
        <f>IF(J85="","",J85-K85)</f>
        <v/>
      </c>
      <c r="L85" s="11" t="n"/>
    </row>
    <row r="86" ht="22" customHeight="1">
      <c r="B86" s="15">
        <f>IF(C86="","PAS-"&amp;TEXT(COUNTA($C$5:C86),"000"))</f>
        <v/>
      </c>
      <c r="C86" s="13" t="n"/>
      <c r="D86" s="13" t="n"/>
      <c r="E86" s="13" t="n"/>
      <c r="F86" s="13" t="n"/>
      <c r="G86" s="13" t="n"/>
      <c r="H86" s="29" t="n"/>
      <c r="I86" s="29" t="n"/>
      <c r="J86" s="18" t="n"/>
      <c r="K86" s="18">
        <f>IF(J86="","",J86-K86)</f>
        <v/>
      </c>
      <c r="L86" s="13" t="n"/>
    </row>
    <row r="87" ht="22" customHeight="1">
      <c r="B87" s="16">
        <f>IF(C87="","PAS-"&amp;TEXT(COUNTA($C$5:C87),"000"))</f>
        <v/>
      </c>
      <c r="C87" s="11" t="n"/>
      <c r="D87" s="11" t="n"/>
      <c r="E87" s="11" t="n"/>
      <c r="F87" s="11" t="n"/>
      <c r="G87" s="11" t="n"/>
      <c r="H87" s="28" t="n"/>
      <c r="I87" s="28" t="n"/>
      <c r="J87" s="17" t="n"/>
      <c r="K87" s="17">
        <f>IF(J87="","",J87-K87)</f>
        <v/>
      </c>
      <c r="L87" s="11" t="n"/>
    </row>
    <row r="88" ht="22" customHeight="1">
      <c r="B88" s="15">
        <f>IF(C88="","PAS-"&amp;TEXT(COUNTA($C$5:C88),"000"))</f>
        <v/>
      </c>
      <c r="C88" s="13" t="n"/>
      <c r="D88" s="13" t="n"/>
      <c r="E88" s="13" t="n"/>
      <c r="F88" s="13" t="n"/>
      <c r="G88" s="13" t="n"/>
      <c r="H88" s="29" t="n"/>
      <c r="I88" s="29" t="n"/>
      <c r="J88" s="18" t="n"/>
      <c r="K88" s="18">
        <f>IF(J88="","",J88-K88)</f>
        <v/>
      </c>
      <c r="L88" s="13" t="n"/>
    </row>
    <row r="89" ht="22" customHeight="1">
      <c r="B89" s="16">
        <f>IF(C89="","PAS-"&amp;TEXT(COUNTA($C$5:C89),"000"))</f>
        <v/>
      </c>
      <c r="C89" s="11" t="n"/>
      <c r="D89" s="11" t="n"/>
      <c r="E89" s="11" t="n"/>
      <c r="F89" s="11" t="n"/>
      <c r="G89" s="11" t="n"/>
      <c r="H89" s="28" t="n"/>
      <c r="I89" s="28" t="n"/>
      <c r="J89" s="17" t="n"/>
      <c r="K89" s="17">
        <f>IF(J89="","",J89-K89)</f>
        <v/>
      </c>
      <c r="L89" s="11" t="n"/>
    </row>
    <row r="90" ht="22" customHeight="1">
      <c r="B90" s="15">
        <f>IF(C90="","PAS-"&amp;TEXT(COUNTA($C$5:C90),"000"))</f>
        <v/>
      </c>
      <c r="C90" s="13" t="n"/>
      <c r="D90" s="13" t="n"/>
      <c r="E90" s="13" t="n"/>
      <c r="F90" s="13" t="n"/>
      <c r="G90" s="13" t="n"/>
      <c r="H90" s="29" t="n"/>
      <c r="I90" s="29" t="n"/>
      <c r="J90" s="18" t="n"/>
      <c r="K90" s="18">
        <f>IF(J90="","",J90-K90)</f>
        <v/>
      </c>
      <c r="L90" s="13" t="n"/>
    </row>
    <row r="91" ht="22" customHeight="1">
      <c r="B91" s="16">
        <f>IF(C91="","PAS-"&amp;TEXT(COUNTA($C$5:C91),"000"))</f>
        <v/>
      </c>
      <c r="C91" s="11" t="n"/>
      <c r="D91" s="11" t="n"/>
      <c r="E91" s="11" t="n"/>
      <c r="F91" s="11" t="n"/>
      <c r="G91" s="11" t="n"/>
      <c r="H91" s="28" t="n"/>
      <c r="I91" s="28" t="n"/>
      <c r="J91" s="17" t="n"/>
      <c r="K91" s="17">
        <f>IF(J91="","",J91-K91)</f>
        <v/>
      </c>
      <c r="L91" s="11" t="n"/>
    </row>
    <row r="92" ht="22" customHeight="1">
      <c r="B92" s="15">
        <f>IF(C92="","PAS-"&amp;TEXT(COUNTA($C$5:C92),"000"))</f>
        <v/>
      </c>
      <c r="C92" s="13" t="n"/>
      <c r="D92" s="13" t="n"/>
      <c r="E92" s="13" t="n"/>
      <c r="F92" s="13" t="n"/>
      <c r="G92" s="13" t="n"/>
      <c r="H92" s="29" t="n"/>
      <c r="I92" s="29" t="n"/>
      <c r="J92" s="18" t="n"/>
      <c r="K92" s="18">
        <f>IF(J92="","",J92-K92)</f>
        <v/>
      </c>
      <c r="L92" s="13" t="n"/>
    </row>
    <row r="93" ht="22" customHeight="1">
      <c r="B93" s="16">
        <f>IF(C93="","PAS-"&amp;TEXT(COUNTA($C$5:C93),"000"))</f>
        <v/>
      </c>
      <c r="C93" s="11" t="n"/>
      <c r="D93" s="11" t="n"/>
      <c r="E93" s="11" t="n"/>
      <c r="F93" s="11" t="n"/>
      <c r="G93" s="11" t="n"/>
      <c r="H93" s="28" t="n"/>
      <c r="I93" s="28" t="n"/>
      <c r="J93" s="17" t="n"/>
      <c r="K93" s="17">
        <f>IF(J93="","",J93-K93)</f>
        <v/>
      </c>
      <c r="L93" s="11" t="n"/>
    </row>
    <row r="94" ht="22" customHeight="1">
      <c r="B94" s="15">
        <f>IF(C94="","PAS-"&amp;TEXT(COUNTA($C$5:C94),"000"))</f>
        <v/>
      </c>
      <c r="C94" s="13" t="n"/>
      <c r="D94" s="13" t="n"/>
      <c r="E94" s="13" t="n"/>
      <c r="F94" s="13" t="n"/>
      <c r="G94" s="13" t="n"/>
      <c r="H94" s="29" t="n"/>
      <c r="I94" s="29" t="n"/>
      <c r="J94" s="18" t="n"/>
      <c r="K94" s="18">
        <f>IF(J94="","",J94-K94)</f>
        <v/>
      </c>
      <c r="L94" s="13" t="n"/>
    </row>
    <row r="95" ht="22" customHeight="1">
      <c r="B95" s="16">
        <f>IF(C95="","PAS-"&amp;TEXT(COUNTA($C$5:C95),"000"))</f>
        <v/>
      </c>
      <c r="C95" s="11" t="n"/>
      <c r="D95" s="11" t="n"/>
      <c r="E95" s="11" t="n"/>
      <c r="F95" s="11" t="n"/>
      <c r="G95" s="11" t="n"/>
      <c r="H95" s="28" t="n"/>
      <c r="I95" s="28" t="n"/>
      <c r="J95" s="17" t="n"/>
      <c r="K95" s="17">
        <f>IF(J95="","",J95-K95)</f>
        <v/>
      </c>
      <c r="L95" s="11" t="n"/>
    </row>
    <row r="96" ht="22" customHeight="1">
      <c r="B96" s="15">
        <f>IF(C96="","PAS-"&amp;TEXT(COUNTA($C$5:C96),"000"))</f>
        <v/>
      </c>
      <c r="C96" s="13" t="n"/>
      <c r="D96" s="13" t="n"/>
      <c r="E96" s="13" t="n"/>
      <c r="F96" s="13" t="n"/>
      <c r="G96" s="13" t="n"/>
      <c r="H96" s="29" t="n"/>
      <c r="I96" s="29" t="n"/>
      <c r="J96" s="18" t="n"/>
      <c r="K96" s="18">
        <f>IF(J96="","",J96-K96)</f>
        <v/>
      </c>
      <c r="L96" s="13" t="n"/>
    </row>
    <row r="97" ht="22" customHeight="1">
      <c r="B97" s="16">
        <f>IF(C97="","PAS-"&amp;TEXT(COUNTA($C$5:C97),"000"))</f>
        <v/>
      </c>
      <c r="C97" s="11" t="n"/>
      <c r="D97" s="11" t="n"/>
      <c r="E97" s="11" t="n"/>
      <c r="F97" s="11" t="n"/>
      <c r="G97" s="11" t="n"/>
      <c r="H97" s="28" t="n"/>
      <c r="I97" s="28" t="n"/>
      <c r="J97" s="17" t="n"/>
      <c r="K97" s="17">
        <f>IF(J97="","",J97-K97)</f>
        <v/>
      </c>
      <c r="L97" s="11" t="n"/>
    </row>
    <row r="98" ht="22" customHeight="1">
      <c r="B98" s="15">
        <f>IF(C98="","PAS-"&amp;TEXT(COUNTA($C$5:C98),"000"))</f>
        <v/>
      </c>
      <c r="C98" s="13" t="n"/>
      <c r="D98" s="13" t="n"/>
      <c r="E98" s="13" t="n"/>
      <c r="F98" s="13" t="n"/>
      <c r="G98" s="13" t="n"/>
      <c r="H98" s="29" t="n"/>
      <c r="I98" s="29" t="n"/>
      <c r="J98" s="18" t="n"/>
      <c r="K98" s="18">
        <f>IF(J98="","",J98-K98)</f>
        <v/>
      </c>
      <c r="L98" s="13" t="n"/>
    </row>
    <row r="99" ht="22" customHeight="1">
      <c r="B99" s="16">
        <f>IF(C99="","PAS-"&amp;TEXT(COUNTA($C$5:C99),"000"))</f>
        <v/>
      </c>
      <c r="C99" s="11" t="n"/>
      <c r="D99" s="11" t="n"/>
      <c r="E99" s="11" t="n"/>
      <c r="F99" s="11" t="n"/>
      <c r="G99" s="11" t="n"/>
      <c r="H99" s="28" t="n"/>
      <c r="I99" s="28" t="n"/>
      <c r="J99" s="17" t="n"/>
      <c r="K99" s="17">
        <f>IF(J99="","",J99-K99)</f>
        <v/>
      </c>
      <c r="L99" s="11" t="n"/>
    </row>
    <row r="100" ht="22" customHeight="1">
      <c r="B100" s="15">
        <f>IF(C100="","PAS-"&amp;TEXT(COUNTA($C$5:C100),"000"))</f>
        <v/>
      </c>
      <c r="C100" s="13" t="n"/>
      <c r="D100" s="13" t="n"/>
      <c r="E100" s="13" t="n"/>
      <c r="F100" s="13" t="n"/>
      <c r="G100" s="13" t="n"/>
      <c r="H100" s="29" t="n"/>
      <c r="I100" s="29" t="n"/>
      <c r="J100" s="18" t="n"/>
      <c r="K100" s="18">
        <f>IF(J100="","",J100-K100)</f>
        <v/>
      </c>
      <c r="L100" s="13" t="n"/>
    </row>
    <row r="101" ht="22" customHeight="1">
      <c r="B101" s="16">
        <f>IF(C101="","PAS-"&amp;TEXT(COUNTA($C$5:C101),"000"))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28" t="n"/>
      <c r="J101" s="17" t="n"/>
      <c r="K101" s="17">
        <f>IF(J101="","",J101-K101)</f>
        <v/>
      </c>
      <c r="L101" s="11" t="n"/>
    </row>
    <row r="102" ht="22" customHeight="1">
      <c r="B102" s="15">
        <f>IF(C102="","PAS-"&amp;TEXT(COUNTA($C$5:C102),"000"))</f>
        <v/>
      </c>
      <c r="C102" s="13" t="n"/>
      <c r="D102" s="13" t="n"/>
      <c r="E102" s="13" t="n"/>
      <c r="F102" s="13" t="n"/>
      <c r="G102" s="13" t="n"/>
      <c r="H102" s="29" t="n"/>
      <c r="I102" s="29" t="n"/>
      <c r="J102" s="18" t="n"/>
      <c r="K102" s="18">
        <f>IF(J102="","",J102-K102)</f>
        <v/>
      </c>
      <c r="L102" s="13" t="n"/>
    </row>
    <row r="103" ht="22" customHeight="1">
      <c r="B103" s="16">
        <f>IF(C103="","PAS-"&amp;TEXT(COUNTA($C$5:C103),"000"))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28" t="n"/>
      <c r="J103" s="17" t="n"/>
      <c r="K103" s="17">
        <f>IF(J103="","",J103-K103)</f>
        <v/>
      </c>
      <c r="L103" s="11" t="n"/>
    </row>
    <row r="104" ht="22" customHeight="1">
      <c r="B104" s="15">
        <f>IF(C104="","PAS-"&amp;TEXT(COUNTA($C$5:C104),"000"))</f>
        <v/>
      </c>
      <c r="C104" s="13" t="n"/>
      <c r="D104" s="13" t="n"/>
      <c r="E104" s="13" t="n"/>
      <c r="F104" s="13" t="n"/>
      <c r="G104" s="13" t="n"/>
      <c r="H104" s="29" t="n"/>
      <c r="I104" s="29" t="n"/>
      <c r="J104" s="18" t="n"/>
      <c r="K104" s="18">
        <f>IF(J104="","",J104-K104)</f>
        <v/>
      </c>
      <c r="L104" s="13" t="n"/>
    </row>
    <row r="105" ht="22" customHeight="1">
      <c r="B105" s="16">
        <f>IF(C105="","PAS-"&amp;TEXT(COUNTA($C$5:C105),"000"))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28" t="n"/>
      <c r="J105" s="17" t="n"/>
      <c r="K105" s="17">
        <f>IF(J105="","",J105-K105)</f>
        <v/>
      </c>
      <c r="L105" s="11" t="n"/>
    </row>
    <row r="106" ht="22" customHeight="1">
      <c r="B106" s="15">
        <f>IF(C106="","PAS-"&amp;TEXT(COUNTA($C$5:C106),"000"))</f>
        <v/>
      </c>
      <c r="C106" s="13" t="n"/>
      <c r="D106" s="13" t="n"/>
      <c r="E106" s="13" t="n"/>
      <c r="F106" s="13" t="n"/>
      <c r="G106" s="13" t="n"/>
      <c r="H106" s="29" t="n"/>
      <c r="I106" s="29" t="n"/>
      <c r="J106" s="18" t="n"/>
      <c r="K106" s="18">
        <f>IF(J106="","",J106-K106)</f>
        <v/>
      </c>
      <c r="L106" s="13" t="n"/>
    </row>
    <row r="107" ht="22" customHeight="1">
      <c r="B107" s="16">
        <f>IF(C107="","PAS-"&amp;TEXT(COUNTA($C$5:C107),"000"))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28" t="n"/>
      <c r="J107" s="17" t="n"/>
      <c r="K107" s="17">
        <f>IF(J107="","",J107-K107)</f>
        <v/>
      </c>
      <c r="L107" s="11" t="n"/>
    </row>
    <row r="108" ht="22" customHeight="1">
      <c r="B108" s="15">
        <f>IF(C108="","PAS-"&amp;TEXT(COUNTA($C$5:C108),"000"))</f>
        <v/>
      </c>
      <c r="C108" s="13" t="n"/>
      <c r="D108" s="13" t="n"/>
      <c r="E108" s="13" t="n"/>
      <c r="F108" s="13" t="n"/>
      <c r="G108" s="13" t="n"/>
      <c r="H108" s="29" t="n"/>
      <c r="I108" s="29" t="n"/>
      <c r="J108" s="18" t="n"/>
      <c r="K108" s="18">
        <f>IF(J108="","",J108-K108)</f>
        <v/>
      </c>
      <c r="L108" s="13" t="n"/>
    </row>
    <row r="109" ht="22" customHeight="1">
      <c r="B109" s="16">
        <f>IF(C109="","PAS-"&amp;TEXT(COUNTA($C$5:C109),"000"))</f>
        <v/>
      </c>
      <c r="C109" s="11" t="n"/>
      <c r="D109" s="11" t="n"/>
      <c r="E109" s="11" t="n"/>
      <c r="F109" s="11" t="n"/>
      <c r="G109" s="11" t="n"/>
      <c r="H109" s="28" t="n"/>
      <c r="I109" s="28" t="n"/>
      <c r="J109" s="17" t="n"/>
      <c r="K109" s="17">
        <f>IF(J109="","",J109-K109)</f>
        <v/>
      </c>
      <c r="L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0" t="n"/>
      <c r="J111" s="21">
        <f>SUM(J5:J104)</f>
        <v/>
      </c>
      <c r="K111" s="21">
        <f>SUM(K5:K104)</f>
        <v/>
      </c>
      <c r="L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Actions securite</t>
        </is>
      </c>
      <c r="D114" s="3" t="inlineStr">
        <is>
          <t>En cours</t>
        </is>
      </c>
      <c r="F114" s="3" t="inlineStr">
        <is>
          <t>Haute priorite</t>
        </is>
      </c>
      <c r="H114" s="3" t="inlineStr">
        <is>
          <t>Budget total (FCFA)</t>
        </is>
      </c>
    </row>
    <row r="115">
      <c r="B115" s="4">
        <f>COUNTIF(B5:B104,"&lt;&gt;")</f>
        <v/>
      </c>
      <c r="D115" s="4">
        <f>COUNTIF(L5:L104,"En cours")</f>
        <v/>
      </c>
      <c r="F115" s="4">
        <f>COUNTIF(G5:G104,"Haute")</f>
        <v/>
      </c>
      <c r="H115" s="4">
        <f>SUM(J5:J104)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conditionalFormatting sqref="K10:K109">
    <cfRule type="expression" priority="159" dxfId="0">
      <formula>AND($C10="",$C9&lt;&gt;"")</formula>
    </cfRule>
  </conditionalFormatting>
  <conditionalFormatting sqref="L10:L109">
    <cfRule type="expression" priority="160" dxfId="0">
      <formula>AND($C10="",$C9&lt;&gt;"")</formula>
    </cfRule>
  </conditionalFormatting>
  <dataValidations count="3">
    <dataValidation sqref="F5:F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G5:G109" showDropDown="0" showInputMessage="0" showErrorMessage="0" allowBlank="1" errorTitle="Erreur" error="Valeur invalide" promptTitle="Liste" prompt="Choisir dans la liste" type="list">
      <formula1>'_Lists'!$Y$2:$Y$4</formula1>
    </dataValidation>
    <dataValidation sqref="L5:L109" showDropDown="0" showInputMessage="0" showErrorMessage="0" allowBlank="1" errorTitle="Erreur" error="Valeur invalide" promptTitle="Liste" prompt="Choisir dans la liste" type="list">
      <formula1>'_Lists'!$T$2:$T$7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14" customWidth="1" min="7" max="7"/>
    <col width="10" customWidth="1" min="8" max="8"/>
    <col width="18" customWidth="1" min="9" max="9"/>
    <col width="26" customWidth="1" min="10" max="10"/>
    <col width="28" customWidth="1" min="11" max="11"/>
    <col width="24" customWidth="1" min="12" max="12"/>
    <col width="16" customWidth="1" min="13" max="13"/>
    <col width="22" customWidth="1" min="14" max="14"/>
  </cols>
  <sheetData>
    <row r="1" ht="15" customHeight="1"/>
    <row r="2" ht="32" customHeight="1">
      <c r="B2" s="1" t="inlineStr">
        <is>
          <t>ACCIDENTS DU TRAVAIL (#100)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Matricule</t>
        </is>
      </c>
      <c r="D4" s="10" t="inlineStr">
        <is>
          <t>Nom Employe</t>
        </is>
      </c>
      <c r="E4" s="10" t="inlineStr">
        <is>
          <t>Departement</t>
        </is>
      </c>
      <c r="F4" s="10" t="inlineStr">
        <is>
          <t>Poste</t>
        </is>
      </c>
      <c r="G4" s="10" t="inlineStr">
        <is>
          <t>Date Accident</t>
        </is>
      </c>
      <c r="H4" s="10" t="inlineStr">
        <is>
          <t>Heure</t>
        </is>
      </c>
      <c r="I4" s="10" t="inlineStr">
        <is>
          <t>Lieu</t>
        </is>
      </c>
      <c r="J4" s="10" t="inlineStr">
        <is>
          <t>Cause</t>
        </is>
      </c>
      <c r="K4" s="10" t="inlineStr">
        <is>
          <t>Nature Blessure</t>
        </is>
      </c>
      <c r="L4" s="10" t="inlineStr">
        <is>
          <t>Gravite</t>
        </is>
      </c>
      <c r="M4" s="10" t="inlineStr">
        <is>
          <t>Nb Jours Arret</t>
        </is>
      </c>
      <c r="N4" s="10" t="inlineStr">
        <is>
          <t>Statut</t>
        </is>
      </c>
      <c r="O4" t="inlineStr">
        <is>
          <t>Nb Visites Med.</t>
        </is>
      </c>
      <c r="P4" t="inlineStr">
        <is>
          <t>Dernière Visite</t>
        </is>
      </c>
    </row>
    <row r="5" ht="22" customHeight="1">
      <c r="B5" s="11" t="inlineStr">
        <is>
          <t>AT-001</t>
        </is>
      </c>
      <c r="C5" s="11" t="inlineStr">
        <is>
          <t>EMP-010</t>
        </is>
      </c>
      <c r="D5" s="11">
        <f>IF(C5="","",VLOOKUP(C5,'_Données Employés'!$B$5:$H$18,4,FALSE)&amp;" "&amp;VLOOKUP(C5,'_Données Employés'!$B$5:$H$18,5,FALSE))</f>
        <v/>
      </c>
      <c r="E5" s="11">
        <f>IF(C5="","",VLOOKUP(C5,'_Données Employés'!$B$5:$H$18,6,FALSE))</f>
        <v/>
      </c>
      <c r="F5" s="11">
        <f>IF(C5="","",VLOOKUP(C5,'_Données Employés'!$B$5:$H$18,7,FALSE))</f>
        <v/>
      </c>
      <c r="G5" s="28" t="n">
        <v>45672</v>
      </c>
      <c r="H5" s="11" t="inlineStr">
        <is>
          <t>08:30</t>
        </is>
      </c>
      <c r="I5" s="11" t="inlineStr">
        <is>
          <t>Cuisine</t>
        </is>
      </c>
      <c r="J5" s="11" t="inlineStr">
        <is>
          <t>Glissade / chute</t>
        </is>
      </c>
      <c r="K5" s="11" t="inlineStr">
        <is>
          <t>Contusion poignet droit</t>
        </is>
      </c>
      <c r="L5" s="11" t="inlineStr">
        <is>
          <t>Bénin (sans arret)</t>
        </is>
      </c>
      <c r="M5" s="22" t="n">
        <v>0</v>
      </c>
      <c r="N5" s="11" t="inlineStr">
        <is>
          <t>Cloture</t>
        </is>
      </c>
      <c r="O5">
        <f>IFERROR(COUNTIF('7-Visites Medicales'!C5:C104,C5),0)</f>
        <v/>
      </c>
      <c r="P5">
        <f>IFERROR(MAXIFS('7-Visites Medicales'!H5:H104,'7-Visites Medicales'!C5:C104,C5),"")</f>
        <v/>
      </c>
    </row>
    <row r="6" ht="22" customHeight="1">
      <c r="B6" s="13" t="inlineStr">
        <is>
          <t>AT-002</t>
        </is>
      </c>
      <c r="C6" s="13" t="inlineStr">
        <is>
          <t>EMP-010</t>
        </is>
      </c>
      <c r="D6" s="13">
        <f>IF(C6="","",VLOOKUP(C6,'_Données Employés'!$B$5:$H$18,4,FALSE)&amp;" "&amp;VLOOKUP(C6,'_Données Employés'!$B$5:$H$18,5,FALSE))</f>
        <v/>
      </c>
      <c r="E6" s="13">
        <f>IF(C6="","",VLOOKUP(C6,'_Données Employés'!$B$5:$H$18,6,FALSE))</f>
        <v/>
      </c>
      <c r="F6" s="13">
        <f>IF(C6="","",VLOOKUP(C6,'_Données Employés'!$B$5:$H$18,7,FALSE))</f>
        <v/>
      </c>
      <c r="G6" s="29" t="n">
        <v>45708</v>
      </c>
      <c r="H6" s="13" t="inlineStr">
        <is>
          <t>14:00</t>
        </is>
      </c>
      <c r="I6" s="13" t="inlineStr">
        <is>
          <t>Cuisine</t>
        </is>
      </c>
      <c r="J6" s="13" t="inlineStr">
        <is>
          <t>Environnement dangereux</t>
        </is>
      </c>
      <c r="K6" s="13" t="inlineStr">
        <is>
          <t>Inhalation gaz</t>
        </is>
      </c>
      <c r="L6" s="13" t="inlineStr">
        <is>
          <t>Mineur (avec arret &lt;8j)</t>
        </is>
      </c>
      <c r="M6" s="23" t="n">
        <v>3</v>
      </c>
      <c r="N6" s="13" t="inlineStr">
        <is>
          <t>Declare</t>
        </is>
      </c>
      <c r="O6">
        <f>IFERROR(COUNTIF('7-Visites Medicales'!C5:C104,C6),0)</f>
        <v/>
      </c>
      <c r="P6">
        <f>IFERROR(MAXIFS('7-Visites Medicales'!H5:H104,'7-Visites Medicales'!C5:C104,C6),"")</f>
        <v/>
      </c>
    </row>
    <row r="7" ht="22" customHeight="1">
      <c r="B7" s="11" t="inlineStr">
        <is>
          <t>AT-003</t>
        </is>
      </c>
      <c r="C7" s="11" t="inlineStr">
        <is>
          <t>EMP-009</t>
        </is>
      </c>
      <c r="D7" s="11">
        <f>IF(C7="","",VLOOKUP(C7,'_Données Employés'!$B$5:$H$18,4,FALSE)&amp;" "&amp;VLOOKUP(C7,'_Données Employés'!$B$5:$H$18,5,FALSE))</f>
        <v/>
      </c>
      <c r="E7" s="11">
        <f>IF(C7="","",VLOOKUP(C7,'_Données Employés'!$B$5:$H$18,6,FALSE))</f>
        <v/>
      </c>
      <c r="F7" s="11">
        <f>IF(C7="","",VLOOKUP(C7,'_Données Employés'!$B$5:$H$18,7,FALSE))</f>
        <v/>
      </c>
      <c r="G7" s="28" t="n">
        <v>45726</v>
      </c>
      <c r="H7" s="11" t="inlineStr">
        <is>
          <t>06:45</t>
        </is>
      </c>
      <c r="I7" s="11" t="inlineStr">
        <is>
          <t>Local technique</t>
        </is>
      </c>
      <c r="J7" s="11" t="inlineStr">
        <is>
          <t>Manipulation incorrecte</t>
        </is>
      </c>
      <c r="K7" s="11" t="inlineStr">
        <is>
          <t>Coupure main gauche, 3 points</t>
        </is>
      </c>
      <c r="L7" s="11" t="inlineStr">
        <is>
          <t>Mineur (avec arret &lt;8j)</t>
        </is>
      </c>
      <c r="M7" s="22" t="n">
        <v>5</v>
      </c>
      <c r="N7" s="11" t="inlineStr">
        <is>
          <t>Declaration CNPS</t>
        </is>
      </c>
      <c r="O7">
        <f>IFERROR(COUNTIF('7-Visites Medicales'!C5:C104,C7),0)</f>
        <v/>
      </c>
      <c r="P7">
        <f>IFERROR(MAXIFS('7-Visites Medicales'!H5:H104,'7-Visites Medicales'!C5:C104,C7),"")</f>
        <v/>
      </c>
    </row>
    <row r="8" ht="22" customHeight="1">
      <c r="B8" s="13" t="inlineStr">
        <is>
          <t>AT-004</t>
        </is>
      </c>
      <c r="C8" s="13" t="inlineStr">
        <is>
          <t>EMP-011</t>
        </is>
      </c>
      <c r="D8" s="13">
        <f>IF(C8="","",VLOOKUP(C8,'_Données Employés'!$B$5:$H$18,4,FALSE)&amp;" "&amp;VLOOKUP(C8,'_Données Employés'!$B$5:$H$18,5,FALSE))</f>
        <v/>
      </c>
      <c r="E8" s="13">
        <f>IF(C8="","",VLOOKUP(C8,'_Données Employés'!$B$5:$H$18,6,FALSE))</f>
        <v/>
      </c>
      <c r="F8" s="13">
        <f>IF(C8="","",VLOOKUP(C8,'_Données Employés'!$B$5:$H$18,7,FALSE))</f>
        <v/>
      </c>
      <c r="G8" s="29" t="n">
        <v>45769</v>
      </c>
      <c r="H8" s="13" t="inlineStr">
        <is>
          <t>03:00</t>
        </is>
      </c>
      <c r="I8" s="13" t="inlineStr">
        <is>
          <t>Parking</t>
        </is>
      </c>
      <c r="J8" s="13" t="inlineStr">
        <is>
          <t>Agression physique externe</t>
        </is>
      </c>
      <c r="K8" s="13" t="inlineStr">
        <is>
          <t>Traumatisme crane, sutures</t>
        </is>
      </c>
      <c r="L8" s="13" t="inlineStr">
        <is>
          <t>Moyen (8-30j)</t>
        </is>
      </c>
      <c r="M8" s="23" t="n">
        <v>15</v>
      </c>
      <c r="N8" s="13" t="inlineStr">
        <is>
          <t>Indemnise</t>
        </is>
      </c>
      <c r="O8">
        <f>IFERROR(COUNTIF('7-Visites Medicales'!C5:C104,C8),0)</f>
        <v/>
      </c>
      <c r="P8">
        <f>IFERROR(MAXIFS('7-Visites Medicales'!H5:H104,'7-Visites Medicales'!C5:C104,C8),"")</f>
        <v/>
      </c>
    </row>
    <row r="9" ht="22" customHeight="1">
      <c r="B9" s="11" t="inlineStr">
        <is>
          <t>AT-005</t>
        </is>
      </c>
      <c r="C9" s="11" t="inlineStr">
        <is>
          <t>EMP-005</t>
        </is>
      </c>
      <c r="D9" s="11">
        <f>IF(C9="","",VLOOKUP(C9,'_Données Employés'!$B$5:$H$18,4,FALSE)&amp;" "&amp;VLOOKUP(C9,'_Données Employés'!$B$5:$H$18,5,FALSE))</f>
        <v/>
      </c>
      <c r="E9" s="11">
        <f>IF(C9="","",VLOOKUP(C9,'_Données Employés'!$B$5:$H$18,6,FALSE))</f>
        <v/>
      </c>
      <c r="F9" s="11">
        <f>IF(C9="","",VLOOKUP(C9,'_Données Employés'!$B$5:$H$18,7,FALSE))</f>
        <v/>
      </c>
      <c r="G9" s="28" t="n">
        <v>45813</v>
      </c>
      <c r="H9" s="11" t="inlineStr">
        <is>
          <t>10:00</t>
        </is>
      </c>
      <c r="I9" s="11" t="inlineStr">
        <is>
          <t>Etage 4</t>
        </is>
      </c>
      <c r="J9" s="11" t="inlineStr">
        <is>
          <t>Chute de hauteur</t>
        </is>
      </c>
      <c r="K9" s="11" t="inlineStr">
        <is>
          <t>Fracture cheville</t>
        </is>
      </c>
      <c r="L9" s="11" t="inlineStr">
        <is>
          <t>Grave (&gt;30j)</t>
        </is>
      </c>
      <c r="M9" s="22" t="n">
        <v>45</v>
      </c>
      <c r="N9" s="11" t="inlineStr">
        <is>
          <t>En cours d'enquete</t>
        </is>
      </c>
      <c r="O9">
        <f>IFERROR(COUNTIF('7-Visites Medicales'!C5:C104,C9),0)</f>
        <v/>
      </c>
      <c r="P9">
        <f>IFERROR(MAXIFS('7-Visites Medicales'!H5:H104,'7-Visites Medicales'!C5:C104,C9),"")</f>
        <v/>
      </c>
    </row>
    <row r="10" ht="22" customHeight="1">
      <c r="B10" s="15">
        <f>IF(C10="","AT-"&amp;TEXT(COUNTA($C$5:C10),"000"))</f>
        <v/>
      </c>
      <c r="C10" s="13" t="n"/>
      <c r="D10" s="13" t="n"/>
      <c r="E10" s="13" t="n"/>
      <c r="F10" s="13" t="n"/>
      <c r="G10" s="29" t="n"/>
      <c r="H10" s="13" t="n"/>
      <c r="I10" s="13" t="n"/>
      <c r="J10" s="13" t="n"/>
      <c r="K10" s="13" t="n"/>
      <c r="L10" s="13" t="n"/>
      <c r="M10" s="23" t="n"/>
      <c r="N10" s="13" t="n"/>
      <c r="O10">
        <f>IFERROR(COUNTIF('7-Visites Medicales'!C5:C104,C10),0)</f>
        <v/>
      </c>
      <c r="P10">
        <f>IFERROR(MAXIFS('7-Visites Medicales'!H5:H104,'7-Visites Medicales'!C5:C104,C10),"")</f>
        <v/>
      </c>
    </row>
    <row r="11" ht="22" customHeight="1">
      <c r="B11" s="16">
        <f>IF(C11="","AT-"&amp;TEXT(COUNTA($C$5:C11),"000"))</f>
        <v/>
      </c>
      <c r="C11" s="11" t="n"/>
      <c r="D11" s="11" t="n"/>
      <c r="E11" s="11" t="n"/>
      <c r="F11" s="11" t="n"/>
      <c r="G11" s="28" t="n"/>
      <c r="H11" s="11" t="n"/>
      <c r="I11" s="11" t="n"/>
      <c r="J11" s="11" t="n"/>
      <c r="K11" s="11" t="n"/>
      <c r="L11" s="11" t="n"/>
      <c r="M11" s="22" t="n"/>
      <c r="N11" s="11" t="n"/>
      <c r="O11">
        <f>IFERROR(COUNTIF('7-Visites Medicales'!C5:C104,C11),0)</f>
        <v/>
      </c>
      <c r="P11">
        <f>IFERROR(MAXIFS('7-Visites Medicales'!H5:H104,'7-Visites Medicales'!C5:C104,C11),"")</f>
        <v/>
      </c>
    </row>
    <row r="12" ht="22" customHeight="1">
      <c r="B12" s="15">
        <f>IF(C12="","AT-"&amp;TEXT(COUNTA($C$5:C12),"000"))</f>
        <v/>
      </c>
      <c r="C12" s="13" t="n"/>
      <c r="D12" s="13" t="n"/>
      <c r="E12" s="13" t="n"/>
      <c r="F12" s="13" t="n"/>
      <c r="G12" s="29" t="n"/>
      <c r="H12" s="13" t="n"/>
      <c r="I12" s="13" t="n"/>
      <c r="J12" s="13" t="n"/>
      <c r="K12" s="13" t="n"/>
      <c r="L12" s="13" t="n"/>
      <c r="M12" s="23" t="n"/>
      <c r="N12" s="13" t="n"/>
      <c r="O12">
        <f>IFERROR(COUNTIF('7-Visites Medicales'!C5:C104,C12),0)</f>
        <v/>
      </c>
      <c r="P12">
        <f>IFERROR(MAXIFS('7-Visites Medicales'!H5:H104,'7-Visites Medicales'!C5:C104,C12),"")</f>
        <v/>
      </c>
    </row>
    <row r="13" ht="22" customHeight="1">
      <c r="B13" s="16">
        <f>IF(C13="","AT-"&amp;TEXT(COUNTA($C$5:C13),"000"))</f>
        <v/>
      </c>
      <c r="C13" s="11" t="n"/>
      <c r="D13" s="11" t="n"/>
      <c r="E13" s="11" t="n"/>
      <c r="F13" s="11" t="n"/>
      <c r="G13" s="28" t="n"/>
      <c r="H13" s="11" t="n"/>
      <c r="I13" s="11" t="n"/>
      <c r="J13" s="11" t="n"/>
      <c r="K13" s="11" t="n"/>
      <c r="L13" s="11" t="n"/>
      <c r="M13" s="22" t="n"/>
      <c r="N13" s="11" t="n"/>
      <c r="O13">
        <f>IFERROR(COUNTIF('7-Visites Medicales'!C5:C104,C13),0)</f>
        <v/>
      </c>
      <c r="P13">
        <f>IFERROR(MAXIFS('7-Visites Medicales'!H5:H104,'7-Visites Medicales'!C5:C104,C13),"")</f>
        <v/>
      </c>
    </row>
    <row r="14" ht="22" customHeight="1">
      <c r="B14" s="15">
        <f>IF(C14="","AT-"&amp;TEXT(COUNTA($C$5:C14),"000"))</f>
        <v/>
      </c>
      <c r="C14" s="13" t="n"/>
      <c r="D14" s="13" t="n"/>
      <c r="E14" s="13" t="n"/>
      <c r="F14" s="13" t="n"/>
      <c r="G14" s="29" t="n"/>
      <c r="H14" s="13" t="n"/>
      <c r="I14" s="13" t="n"/>
      <c r="J14" s="13" t="n"/>
      <c r="K14" s="13" t="n"/>
      <c r="L14" s="13" t="n"/>
      <c r="M14" s="23" t="n"/>
      <c r="N14" s="13" t="n"/>
      <c r="O14">
        <f>IFERROR(COUNTIF('7-Visites Medicales'!C5:C104,C14),0)</f>
        <v/>
      </c>
      <c r="P14">
        <f>IFERROR(MAXIFS('7-Visites Medicales'!H5:H104,'7-Visites Medicales'!C5:C104,C14),"")</f>
        <v/>
      </c>
    </row>
    <row r="15" ht="22" customHeight="1">
      <c r="B15" s="16">
        <f>IF(C15="","AT-"&amp;TEXT(COUNTA($C$5:C15),"000"))</f>
        <v/>
      </c>
      <c r="C15" s="11" t="n"/>
      <c r="D15" s="11" t="n"/>
      <c r="E15" s="11" t="n"/>
      <c r="F15" s="11" t="n"/>
      <c r="G15" s="28" t="n"/>
      <c r="H15" s="11" t="n"/>
      <c r="I15" s="11" t="n"/>
      <c r="J15" s="11" t="n"/>
      <c r="K15" s="11" t="n"/>
      <c r="L15" s="11" t="n"/>
      <c r="M15" s="22" t="n"/>
      <c r="N15" s="11" t="n"/>
      <c r="O15">
        <f>IFERROR(COUNTIF('7-Visites Medicales'!C5:C104,C15),0)</f>
        <v/>
      </c>
      <c r="P15">
        <f>IFERROR(MAXIFS('7-Visites Medicales'!H5:H104,'7-Visites Medicales'!C5:C104,C15),"")</f>
        <v/>
      </c>
    </row>
    <row r="16" ht="22" customHeight="1">
      <c r="B16" s="15">
        <f>IF(C16="","AT-"&amp;TEXT(COUNTA($C$5:C16),"000"))</f>
        <v/>
      </c>
      <c r="C16" s="13" t="n"/>
      <c r="D16" s="13" t="n"/>
      <c r="E16" s="13" t="n"/>
      <c r="F16" s="13" t="n"/>
      <c r="G16" s="29" t="n"/>
      <c r="H16" s="13" t="n"/>
      <c r="I16" s="13" t="n"/>
      <c r="J16" s="13" t="n"/>
      <c r="K16" s="13" t="n"/>
      <c r="L16" s="13" t="n"/>
      <c r="M16" s="23" t="n"/>
      <c r="N16" s="13" t="n"/>
      <c r="O16">
        <f>IFERROR(COUNTIF('7-Visites Medicales'!C5:C104,C16),0)</f>
        <v/>
      </c>
      <c r="P16">
        <f>IFERROR(MAXIFS('7-Visites Medicales'!H5:H104,'7-Visites Medicales'!C5:C104,C16),"")</f>
        <v/>
      </c>
    </row>
    <row r="17" ht="22" customHeight="1">
      <c r="B17" s="16">
        <f>IF(C17="","AT-"&amp;TEXT(COUNTA($C$5:C17),"000"))</f>
        <v/>
      </c>
      <c r="C17" s="11" t="n"/>
      <c r="D17" s="11" t="n"/>
      <c r="E17" s="11" t="n"/>
      <c r="F17" s="11" t="n"/>
      <c r="G17" s="28" t="n"/>
      <c r="H17" s="11" t="n"/>
      <c r="I17" s="11" t="n"/>
      <c r="J17" s="11" t="n"/>
      <c r="K17" s="11" t="n"/>
      <c r="L17" s="11" t="n"/>
      <c r="M17" s="22" t="n"/>
      <c r="N17" s="11" t="n"/>
      <c r="O17">
        <f>IFERROR(COUNTIF('7-Visites Medicales'!C5:C104,C17),0)</f>
        <v/>
      </c>
      <c r="P17">
        <f>IFERROR(MAXIFS('7-Visites Medicales'!H5:H104,'7-Visites Medicales'!C5:C104,C17),"")</f>
        <v/>
      </c>
    </row>
    <row r="18" ht="22" customHeight="1">
      <c r="B18" s="15">
        <f>IF(C18="","AT-"&amp;TEXT(COUNTA($C$5:C18),"000"))</f>
        <v/>
      </c>
      <c r="C18" s="13" t="n"/>
      <c r="D18" s="13" t="n"/>
      <c r="E18" s="13" t="n"/>
      <c r="F18" s="13" t="n"/>
      <c r="G18" s="29" t="n"/>
      <c r="H18" s="13" t="n"/>
      <c r="I18" s="13" t="n"/>
      <c r="J18" s="13" t="n"/>
      <c r="K18" s="13" t="n"/>
      <c r="L18" s="13" t="n"/>
      <c r="M18" s="23" t="n"/>
      <c r="N18" s="13" t="n"/>
      <c r="O18">
        <f>IFERROR(COUNTIF('7-Visites Medicales'!C5:C104,C18),0)</f>
        <v/>
      </c>
      <c r="P18">
        <f>IFERROR(MAXIFS('7-Visites Medicales'!H5:H104,'7-Visites Medicales'!C5:C104,C18),"")</f>
        <v/>
      </c>
    </row>
    <row r="19" ht="22" customHeight="1">
      <c r="B19" s="16">
        <f>IF(C19="","AT-"&amp;TEXT(COUNTA($C$5:C19),"000"))</f>
        <v/>
      </c>
      <c r="C19" s="11" t="n"/>
      <c r="D19" s="11" t="n"/>
      <c r="E19" s="11" t="n"/>
      <c r="F19" s="11" t="n"/>
      <c r="G19" s="28" t="n"/>
      <c r="H19" s="11" t="n"/>
      <c r="I19" s="11" t="n"/>
      <c r="J19" s="11" t="n"/>
      <c r="K19" s="11" t="n"/>
      <c r="L19" s="11" t="n"/>
      <c r="M19" s="22" t="n"/>
      <c r="N19" s="11" t="n"/>
      <c r="O19">
        <f>IFERROR(COUNTIF('7-Visites Medicales'!C5:C104,C19),0)</f>
        <v/>
      </c>
      <c r="P19">
        <f>IFERROR(MAXIFS('7-Visites Medicales'!H5:H104,'7-Visites Medicales'!C5:C104,C19),"")</f>
        <v/>
      </c>
    </row>
    <row r="20" ht="22" customHeight="1">
      <c r="B20" s="15">
        <f>IF(C20="","AT-"&amp;TEXT(COUNTA($C$5:C20),"000"))</f>
        <v/>
      </c>
      <c r="C20" s="13" t="n"/>
      <c r="D20" s="13" t="n"/>
      <c r="E20" s="13" t="n"/>
      <c r="F20" s="13" t="n"/>
      <c r="G20" s="29" t="n"/>
      <c r="H20" s="13" t="n"/>
      <c r="I20" s="13" t="n"/>
      <c r="J20" s="13" t="n"/>
      <c r="K20" s="13" t="n"/>
      <c r="L20" s="13" t="n"/>
      <c r="M20" s="23" t="n"/>
      <c r="N20" s="13" t="n"/>
      <c r="O20">
        <f>IFERROR(COUNTIF('7-Visites Medicales'!C5:C104,C20),0)</f>
        <v/>
      </c>
      <c r="P20">
        <f>IFERROR(MAXIFS('7-Visites Medicales'!H5:H104,'7-Visites Medicales'!C5:C104,C20),"")</f>
        <v/>
      </c>
    </row>
    <row r="21" ht="22" customHeight="1">
      <c r="B21" s="16">
        <f>IF(C21="","AT-"&amp;TEXT(COUNTA($C$5:C21),"000"))</f>
        <v/>
      </c>
      <c r="C21" s="11" t="n"/>
      <c r="D21" s="11" t="n"/>
      <c r="E21" s="11" t="n"/>
      <c r="F21" s="11" t="n"/>
      <c r="G21" s="28" t="n"/>
      <c r="H21" s="11" t="n"/>
      <c r="I21" s="11" t="n"/>
      <c r="J21" s="11" t="n"/>
      <c r="K21" s="11" t="n"/>
      <c r="L21" s="11" t="n"/>
      <c r="M21" s="22" t="n"/>
      <c r="N21" s="11" t="n"/>
      <c r="O21">
        <f>IFERROR(COUNTIF('7-Visites Medicales'!C5:C104,C21),0)</f>
        <v/>
      </c>
      <c r="P21">
        <f>IFERROR(MAXIFS('7-Visites Medicales'!H5:H104,'7-Visites Medicales'!C5:C104,C21),"")</f>
        <v/>
      </c>
    </row>
    <row r="22" ht="22" customHeight="1">
      <c r="B22" s="15">
        <f>IF(C22="","AT-"&amp;TEXT(COUNTA($C$5:C22),"000"))</f>
        <v/>
      </c>
      <c r="C22" s="13" t="n"/>
      <c r="D22" s="13" t="n"/>
      <c r="E22" s="13" t="n"/>
      <c r="F22" s="13" t="n"/>
      <c r="G22" s="29" t="n"/>
      <c r="H22" s="13" t="n"/>
      <c r="I22" s="13" t="n"/>
      <c r="J22" s="13" t="n"/>
      <c r="K22" s="13" t="n"/>
      <c r="L22" s="13" t="n"/>
      <c r="M22" s="23" t="n"/>
      <c r="N22" s="13" t="n"/>
      <c r="O22">
        <f>IFERROR(COUNTIF('7-Visites Medicales'!C5:C104,C22),0)</f>
        <v/>
      </c>
      <c r="P22">
        <f>IFERROR(MAXIFS('7-Visites Medicales'!H5:H104,'7-Visites Medicales'!C5:C104,C22),"")</f>
        <v/>
      </c>
    </row>
    <row r="23" ht="22" customHeight="1">
      <c r="B23" s="16">
        <f>IF(C23="","AT-"&amp;TEXT(COUNTA($C$5:C23),"000"))</f>
        <v/>
      </c>
      <c r="C23" s="11" t="n"/>
      <c r="D23" s="11" t="n"/>
      <c r="E23" s="11" t="n"/>
      <c r="F23" s="11" t="n"/>
      <c r="G23" s="28" t="n"/>
      <c r="H23" s="11" t="n"/>
      <c r="I23" s="11" t="n"/>
      <c r="J23" s="11" t="n"/>
      <c r="K23" s="11" t="n"/>
      <c r="L23" s="11" t="n"/>
      <c r="M23" s="22" t="n"/>
      <c r="N23" s="11" t="n"/>
      <c r="O23">
        <f>IFERROR(COUNTIF('7-Visites Medicales'!C5:C104,C23),0)</f>
        <v/>
      </c>
      <c r="P23">
        <f>IFERROR(MAXIFS('7-Visites Medicales'!H5:H104,'7-Visites Medicales'!C5:C104,C23),"")</f>
        <v/>
      </c>
    </row>
    <row r="24" ht="22" customHeight="1">
      <c r="B24" s="15">
        <f>IF(C24="","AT-"&amp;TEXT(COUNTA($C$5:C24),"000"))</f>
        <v/>
      </c>
      <c r="C24" s="13" t="n"/>
      <c r="D24" s="13" t="n"/>
      <c r="E24" s="13" t="n"/>
      <c r="F24" s="13" t="n"/>
      <c r="G24" s="29" t="n"/>
      <c r="H24" s="13" t="n"/>
      <c r="I24" s="13" t="n"/>
      <c r="J24" s="13" t="n"/>
      <c r="K24" s="13" t="n"/>
      <c r="L24" s="13" t="n"/>
      <c r="M24" s="23" t="n"/>
      <c r="N24" s="13" t="n"/>
      <c r="O24">
        <f>IFERROR(COUNTIF('7-Visites Medicales'!C5:C104,C24),0)</f>
        <v/>
      </c>
      <c r="P24">
        <f>IFERROR(MAXIFS('7-Visites Medicales'!H5:H104,'7-Visites Medicales'!C5:C104,C24),"")</f>
        <v/>
      </c>
    </row>
    <row r="25" ht="22" customHeight="1">
      <c r="B25" s="16">
        <f>IF(C25="","AT-"&amp;TEXT(COUNTA($C$5:C25),"000"))</f>
        <v/>
      </c>
      <c r="C25" s="11" t="n"/>
      <c r="D25" s="11" t="n"/>
      <c r="E25" s="11" t="n"/>
      <c r="F25" s="11" t="n"/>
      <c r="G25" s="28" t="n"/>
      <c r="H25" s="11" t="n"/>
      <c r="I25" s="11" t="n"/>
      <c r="J25" s="11" t="n"/>
      <c r="K25" s="11" t="n"/>
      <c r="L25" s="11" t="n"/>
      <c r="M25" s="22" t="n"/>
      <c r="N25" s="11" t="n"/>
      <c r="O25">
        <f>IFERROR(COUNTIF('7-Visites Medicales'!C5:C104,C25),0)</f>
        <v/>
      </c>
      <c r="P25">
        <f>IFERROR(MAXIFS('7-Visites Medicales'!H5:H104,'7-Visites Medicales'!C5:C104,C25),"")</f>
        <v/>
      </c>
    </row>
    <row r="26" ht="22" customHeight="1">
      <c r="B26" s="15">
        <f>IF(C26="","AT-"&amp;TEXT(COUNTA($C$5:C26),"000"))</f>
        <v/>
      </c>
      <c r="C26" s="13" t="n"/>
      <c r="D26" s="13" t="n"/>
      <c r="E26" s="13" t="n"/>
      <c r="F26" s="13" t="n"/>
      <c r="G26" s="29" t="n"/>
      <c r="H26" s="13" t="n"/>
      <c r="I26" s="13" t="n"/>
      <c r="J26" s="13" t="n"/>
      <c r="K26" s="13" t="n"/>
      <c r="L26" s="13" t="n"/>
      <c r="M26" s="23" t="n"/>
      <c r="N26" s="13" t="n"/>
      <c r="O26">
        <f>IFERROR(COUNTIF('7-Visites Medicales'!C5:C104,C26),0)</f>
        <v/>
      </c>
      <c r="P26">
        <f>IFERROR(MAXIFS('7-Visites Medicales'!H5:H104,'7-Visites Medicales'!C5:C104,C26),"")</f>
        <v/>
      </c>
    </row>
    <row r="27" ht="22" customHeight="1">
      <c r="B27" s="16">
        <f>IF(C27="","AT-"&amp;TEXT(COUNTA($C$5:C27),"000"))</f>
        <v/>
      </c>
      <c r="C27" s="11" t="n"/>
      <c r="D27" s="11" t="n"/>
      <c r="E27" s="11" t="n"/>
      <c r="F27" s="11" t="n"/>
      <c r="G27" s="28" t="n"/>
      <c r="H27" s="11" t="n"/>
      <c r="I27" s="11" t="n"/>
      <c r="J27" s="11" t="n"/>
      <c r="K27" s="11" t="n"/>
      <c r="L27" s="11" t="n"/>
      <c r="M27" s="22" t="n"/>
      <c r="N27" s="11" t="n"/>
      <c r="O27">
        <f>IFERROR(COUNTIF('7-Visites Medicales'!C5:C104,C27),0)</f>
        <v/>
      </c>
      <c r="P27">
        <f>IFERROR(MAXIFS('7-Visites Medicales'!H5:H104,'7-Visites Medicales'!C5:C104,C27),"")</f>
        <v/>
      </c>
    </row>
    <row r="28" ht="22" customHeight="1">
      <c r="B28" s="15">
        <f>IF(C28="","AT-"&amp;TEXT(COUNTA($C$5:C28),"000"))</f>
        <v/>
      </c>
      <c r="C28" s="13" t="n"/>
      <c r="D28" s="13" t="n"/>
      <c r="E28" s="13" t="n"/>
      <c r="F28" s="13" t="n"/>
      <c r="G28" s="29" t="n"/>
      <c r="H28" s="13" t="n"/>
      <c r="I28" s="13" t="n"/>
      <c r="J28" s="13" t="n"/>
      <c r="K28" s="13" t="n"/>
      <c r="L28" s="13" t="n"/>
      <c r="M28" s="23" t="n"/>
      <c r="N28" s="13" t="n"/>
      <c r="O28">
        <f>IFERROR(COUNTIF('7-Visites Medicales'!C5:C104,C28),0)</f>
        <v/>
      </c>
      <c r="P28">
        <f>IFERROR(MAXIFS('7-Visites Medicales'!H5:H104,'7-Visites Medicales'!C5:C104,C28),"")</f>
        <v/>
      </c>
    </row>
    <row r="29" ht="22" customHeight="1">
      <c r="B29" s="16">
        <f>IF(C29="","AT-"&amp;TEXT(COUNTA($C$5:C29),"000"))</f>
        <v/>
      </c>
      <c r="C29" s="11" t="n"/>
      <c r="D29" s="11" t="n"/>
      <c r="E29" s="11" t="n"/>
      <c r="F29" s="11" t="n"/>
      <c r="G29" s="28" t="n"/>
      <c r="H29" s="11" t="n"/>
      <c r="I29" s="11" t="n"/>
      <c r="J29" s="11" t="n"/>
      <c r="K29" s="11" t="n"/>
      <c r="L29" s="11" t="n"/>
      <c r="M29" s="22" t="n"/>
      <c r="N29" s="11" t="n"/>
      <c r="O29">
        <f>IFERROR(COUNTIF('7-Visites Medicales'!C5:C104,C29),0)</f>
        <v/>
      </c>
      <c r="P29">
        <f>IFERROR(MAXIFS('7-Visites Medicales'!H5:H104,'7-Visites Medicales'!C5:C104,C29),"")</f>
        <v/>
      </c>
    </row>
    <row r="30" ht="22" customHeight="1">
      <c r="B30" s="15">
        <f>IF(C30="","AT-"&amp;TEXT(COUNTA($C$5:C30),"000"))</f>
        <v/>
      </c>
      <c r="C30" s="13" t="n"/>
      <c r="D30" s="13" t="n"/>
      <c r="E30" s="13" t="n"/>
      <c r="F30" s="13" t="n"/>
      <c r="G30" s="29" t="n"/>
      <c r="H30" s="13" t="n"/>
      <c r="I30" s="13" t="n"/>
      <c r="J30" s="13" t="n"/>
      <c r="K30" s="13" t="n"/>
      <c r="L30" s="13" t="n"/>
      <c r="M30" s="23" t="n"/>
      <c r="N30" s="13" t="n"/>
      <c r="O30">
        <f>IFERROR(COUNTIF('7-Visites Medicales'!C5:C104,C30),0)</f>
        <v/>
      </c>
      <c r="P30">
        <f>IFERROR(MAXIFS('7-Visites Medicales'!H5:H104,'7-Visites Medicales'!C5:C104,C30),"")</f>
        <v/>
      </c>
    </row>
    <row r="31" ht="22" customHeight="1">
      <c r="B31" s="16">
        <f>IF(C31="","AT-"&amp;TEXT(COUNTA($C$5:C31),"000"))</f>
        <v/>
      </c>
      <c r="C31" s="11" t="n"/>
      <c r="D31" s="11" t="n"/>
      <c r="E31" s="11" t="n"/>
      <c r="F31" s="11" t="n"/>
      <c r="G31" s="28" t="n"/>
      <c r="H31" s="11" t="n"/>
      <c r="I31" s="11" t="n"/>
      <c r="J31" s="11" t="n"/>
      <c r="K31" s="11" t="n"/>
      <c r="L31" s="11" t="n"/>
      <c r="M31" s="22" t="n"/>
      <c r="N31" s="11" t="n"/>
      <c r="O31">
        <f>IFERROR(COUNTIF('7-Visites Medicales'!C5:C104,C31),0)</f>
        <v/>
      </c>
      <c r="P31">
        <f>IFERROR(MAXIFS('7-Visites Medicales'!H5:H104,'7-Visites Medicales'!C5:C104,C31),"")</f>
        <v/>
      </c>
    </row>
    <row r="32" ht="22" customHeight="1">
      <c r="B32" s="15">
        <f>IF(C32="","AT-"&amp;TEXT(COUNTA($C$5:C32),"000"))</f>
        <v/>
      </c>
      <c r="C32" s="13" t="n"/>
      <c r="D32" s="13" t="n"/>
      <c r="E32" s="13" t="n"/>
      <c r="F32" s="13" t="n"/>
      <c r="G32" s="29" t="n"/>
      <c r="H32" s="13" t="n"/>
      <c r="I32" s="13" t="n"/>
      <c r="J32" s="13" t="n"/>
      <c r="K32" s="13" t="n"/>
      <c r="L32" s="13" t="n"/>
      <c r="M32" s="23" t="n"/>
      <c r="N32" s="13" t="n"/>
      <c r="O32">
        <f>IFERROR(COUNTIF('7-Visites Medicales'!C5:C104,C32),0)</f>
        <v/>
      </c>
      <c r="P32">
        <f>IFERROR(MAXIFS('7-Visites Medicales'!H5:H104,'7-Visites Medicales'!C5:C104,C32),"")</f>
        <v/>
      </c>
    </row>
    <row r="33" ht="22" customHeight="1">
      <c r="B33" s="16">
        <f>IF(C33="","AT-"&amp;TEXT(COUNTA($C$5:C33),"000"))</f>
        <v/>
      </c>
      <c r="C33" s="11" t="n"/>
      <c r="D33" s="11" t="n"/>
      <c r="E33" s="11" t="n"/>
      <c r="F33" s="11" t="n"/>
      <c r="G33" s="28" t="n"/>
      <c r="H33" s="11" t="n"/>
      <c r="I33" s="11" t="n"/>
      <c r="J33" s="11" t="n"/>
      <c r="K33" s="11" t="n"/>
      <c r="L33" s="11" t="n"/>
      <c r="M33" s="22" t="n"/>
      <c r="N33" s="11" t="n"/>
      <c r="O33">
        <f>IFERROR(COUNTIF('7-Visites Medicales'!C5:C104,C33),0)</f>
        <v/>
      </c>
      <c r="P33">
        <f>IFERROR(MAXIFS('7-Visites Medicales'!H5:H104,'7-Visites Medicales'!C5:C104,C33),"")</f>
        <v/>
      </c>
    </row>
    <row r="34" ht="22" customHeight="1">
      <c r="B34" s="15">
        <f>IF(C34="","AT-"&amp;TEXT(COUNTA($C$5:C34),"000"))</f>
        <v/>
      </c>
      <c r="C34" s="13" t="n"/>
      <c r="D34" s="13" t="n"/>
      <c r="E34" s="13" t="n"/>
      <c r="F34" s="13" t="n"/>
      <c r="G34" s="29" t="n"/>
      <c r="H34" s="13" t="n"/>
      <c r="I34" s="13" t="n"/>
      <c r="J34" s="13" t="n"/>
      <c r="K34" s="13" t="n"/>
      <c r="L34" s="13" t="n"/>
      <c r="M34" s="23" t="n"/>
      <c r="N34" s="13" t="n"/>
      <c r="O34">
        <f>IFERROR(COUNTIF('7-Visites Medicales'!C5:C104,C34),0)</f>
        <v/>
      </c>
      <c r="P34">
        <f>IFERROR(MAXIFS('7-Visites Medicales'!H5:H104,'7-Visites Medicales'!C5:C104,C34),"")</f>
        <v/>
      </c>
    </row>
    <row r="35" ht="22" customHeight="1">
      <c r="B35" s="16">
        <f>IF(C35="","AT-"&amp;TEXT(COUNTA($C$5:C35),"000"))</f>
        <v/>
      </c>
      <c r="C35" s="11" t="n"/>
      <c r="D35" s="11" t="n"/>
      <c r="E35" s="11" t="n"/>
      <c r="F35" s="11" t="n"/>
      <c r="G35" s="28" t="n"/>
      <c r="H35" s="11" t="n"/>
      <c r="I35" s="11" t="n"/>
      <c r="J35" s="11" t="n"/>
      <c r="K35" s="11" t="n"/>
      <c r="L35" s="11" t="n"/>
      <c r="M35" s="22" t="n"/>
      <c r="N35" s="11" t="n"/>
      <c r="O35">
        <f>IFERROR(COUNTIF('7-Visites Medicales'!C5:C104,C35),0)</f>
        <v/>
      </c>
      <c r="P35">
        <f>IFERROR(MAXIFS('7-Visites Medicales'!H5:H104,'7-Visites Medicales'!C5:C104,C35),"")</f>
        <v/>
      </c>
    </row>
    <row r="36" ht="22" customHeight="1">
      <c r="B36" s="15">
        <f>IF(C36="","AT-"&amp;TEXT(COUNTA($C$5:C36),"000"))</f>
        <v/>
      </c>
      <c r="C36" s="13" t="n"/>
      <c r="D36" s="13" t="n"/>
      <c r="E36" s="13" t="n"/>
      <c r="F36" s="13" t="n"/>
      <c r="G36" s="29" t="n"/>
      <c r="H36" s="13" t="n"/>
      <c r="I36" s="13" t="n"/>
      <c r="J36" s="13" t="n"/>
      <c r="K36" s="13" t="n"/>
      <c r="L36" s="13" t="n"/>
      <c r="M36" s="23" t="n"/>
      <c r="N36" s="13" t="n"/>
      <c r="O36">
        <f>IFERROR(COUNTIF('7-Visites Medicales'!C5:C104,C36),0)</f>
        <v/>
      </c>
      <c r="P36">
        <f>IFERROR(MAXIFS('7-Visites Medicales'!H5:H104,'7-Visites Medicales'!C5:C104,C36),"")</f>
        <v/>
      </c>
    </row>
    <row r="37" ht="22" customHeight="1">
      <c r="B37" s="16">
        <f>IF(C37="","AT-"&amp;TEXT(COUNTA($C$5:C37),"000"))</f>
        <v/>
      </c>
      <c r="C37" s="11" t="n"/>
      <c r="D37" s="11" t="n"/>
      <c r="E37" s="11" t="n"/>
      <c r="F37" s="11" t="n"/>
      <c r="G37" s="28" t="n"/>
      <c r="H37" s="11" t="n"/>
      <c r="I37" s="11" t="n"/>
      <c r="J37" s="11" t="n"/>
      <c r="K37" s="11" t="n"/>
      <c r="L37" s="11" t="n"/>
      <c r="M37" s="22" t="n"/>
      <c r="N37" s="11" t="n"/>
      <c r="O37">
        <f>IFERROR(COUNTIF('7-Visites Medicales'!C5:C104,C37),0)</f>
        <v/>
      </c>
      <c r="P37">
        <f>IFERROR(MAXIFS('7-Visites Medicales'!H5:H104,'7-Visites Medicales'!C5:C104,C37),"")</f>
        <v/>
      </c>
    </row>
    <row r="38" ht="22" customHeight="1">
      <c r="B38" s="15">
        <f>IF(C38="","AT-"&amp;TEXT(COUNTA($C$5:C38),"000"))</f>
        <v/>
      </c>
      <c r="C38" s="13" t="n"/>
      <c r="D38" s="13" t="n"/>
      <c r="E38" s="13" t="n"/>
      <c r="F38" s="13" t="n"/>
      <c r="G38" s="29" t="n"/>
      <c r="H38" s="13" t="n"/>
      <c r="I38" s="13" t="n"/>
      <c r="J38" s="13" t="n"/>
      <c r="K38" s="13" t="n"/>
      <c r="L38" s="13" t="n"/>
      <c r="M38" s="23" t="n"/>
      <c r="N38" s="13" t="n"/>
      <c r="O38">
        <f>IFERROR(COUNTIF('7-Visites Medicales'!C5:C104,C38),0)</f>
        <v/>
      </c>
      <c r="P38">
        <f>IFERROR(MAXIFS('7-Visites Medicales'!H5:H104,'7-Visites Medicales'!C5:C104,C38),"")</f>
        <v/>
      </c>
    </row>
    <row r="39" ht="22" customHeight="1">
      <c r="B39" s="16">
        <f>IF(C39="","AT-"&amp;TEXT(COUNTA($C$5:C39),"000"))</f>
        <v/>
      </c>
      <c r="C39" s="11" t="n"/>
      <c r="D39" s="11" t="n"/>
      <c r="E39" s="11" t="n"/>
      <c r="F39" s="11" t="n"/>
      <c r="G39" s="28" t="n"/>
      <c r="H39" s="11" t="n"/>
      <c r="I39" s="11" t="n"/>
      <c r="J39" s="11" t="n"/>
      <c r="K39" s="11" t="n"/>
      <c r="L39" s="11" t="n"/>
      <c r="M39" s="22" t="n"/>
      <c r="N39" s="11" t="n"/>
      <c r="O39">
        <f>IFERROR(COUNTIF('7-Visites Medicales'!C5:C104,C39),0)</f>
        <v/>
      </c>
      <c r="P39">
        <f>IFERROR(MAXIFS('7-Visites Medicales'!H5:H104,'7-Visites Medicales'!C5:C104,C39),"")</f>
        <v/>
      </c>
    </row>
    <row r="40" ht="22" customHeight="1">
      <c r="B40" s="15">
        <f>IF(C40="","AT-"&amp;TEXT(COUNTA($C$5:C40),"000"))</f>
        <v/>
      </c>
      <c r="C40" s="13" t="n"/>
      <c r="D40" s="13" t="n"/>
      <c r="E40" s="13" t="n"/>
      <c r="F40" s="13" t="n"/>
      <c r="G40" s="29" t="n"/>
      <c r="H40" s="13" t="n"/>
      <c r="I40" s="13" t="n"/>
      <c r="J40" s="13" t="n"/>
      <c r="K40" s="13" t="n"/>
      <c r="L40" s="13" t="n"/>
      <c r="M40" s="23" t="n"/>
      <c r="N40" s="13" t="n"/>
      <c r="O40">
        <f>IFERROR(COUNTIF('7-Visites Medicales'!C5:C104,C40),0)</f>
        <v/>
      </c>
      <c r="P40">
        <f>IFERROR(MAXIFS('7-Visites Medicales'!H5:H104,'7-Visites Medicales'!C5:C104,C40),"")</f>
        <v/>
      </c>
    </row>
    <row r="41" ht="22" customHeight="1">
      <c r="B41" s="16">
        <f>IF(C41="","AT-"&amp;TEXT(COUNTA($C$5:C41),"000"))</f>
        <v/>
      </c>
      <c r="C41" s="11" t="n"/>
      <c r="D41" s="11" t="n"/>
      <c r="E41" s="11" t="n"/>
      <c r="F41" s="11" t="n"/>
      <c r="G41" s="28" t="n"/>
      <c r="H41" s="11" t="n"/>
      <c r="I41" s="11" t="n"/>
      <c r="J41" s="11" t="n"/>
      <c r="K41" s="11" t="n"/>
      <c r="L41" s="11" t="n"/>
      <c r="M41" s="22" t="n"/>
      <c r="N41" s="11" t="n"/>
      <c r="O41">
        <f>IFERROR(COUNTIF('7-Visites Medicales'!C5:C104,C41),0)</f>
        <v/>
      </c>
      <c r="P41">
        <f>IFERROR(MAXIFS('7-Visites Medicales'!H5:H104,'7-Visites Medicales'!C5:C104,C41),"")</f>
        <v/>
      </c>
    </row>
    <row r="42" ht="22" customHeight="1">
      <c r="B42" s="15">
        <f>IF(C42="","AT-"&amp;TEXT(COUNTA($C$5:C42),"000"))</f>
        <v/>
      </c>
      <c r="C42" s="13" t="n"/>
      <c r="D42" s="13" t="n"/>
      <c r="E42" s="13" t="n"/>
      <c r="F42" s="13" t="n"/>
      <c r="G42" s="29" t="n"/>
      <c r="H42" s="13" t="n"/>
      <c r="I42" s="13" t="n"/>
      <c r="J42" s="13" t="n"/>
      <c r="K42" s="13" t="n"/>
      <c r="L42" s="13" t="n"/>
      <c r="M42" s="23" t="n"/>
      <c r="N42" s="13" t="n"/>
      <c r="O42">
        <f>IFERROR(COUNTIF('7-Visites Medicales'!C5:C104,C42),0)</f>
        <v/>
      </c>
      <c r="P42">
        <f>IFERROR(MAXIFS('7-Visites Medicales'!H5:H104,'7-Visites Medicales'!C5:C104,C42),"")</f>
        <v/>
      </c>
    </row>
    <row r="43" ht="22" customHeight="1">
      <c r="B43" s="16">
        <f>IF(C43="","AT-"&amp;TEXT(COUNTA($C$5:C43),"000"))</f>
        <v/>
      </c>
      <c r="C43" s="11" t="n"/>
      <c r="D43" s="11" t="n"/>
      <c r="E43" s="11" t="n"/>
      <c r="F43" s="11" t="n"/>
      <c r="G43" s="28" t="n"/>
      <c r="H43" s="11" t="n"/>
      <c r="I43" s="11" t="n"/>
      <c r="J43" s="11" t="n"/>
      <c r="K43" s="11" t="n"/>
      <c r="L43" s="11" t="n"/>
      <c r="M43" s="22" t="n"/>
      <c r="N43" s="11" t="n"/>
      <c r="O43">
        <f>IFERROR(COUNTIF('7-Visites Medicales'!C5:C104,C43),0)</f>
        <v/>
      </c>
      <c r="P43">
        <f>IFERROR(MAXIFS('7-Visites Medicales'!H5:H104,'7-Visites Medicales'!C5:C104,C43),"")</f>
        <v/>
      </c>
    </row>
    <row r="44" ht="22" customHeight="1">
      <c r="B44" s="15">
        <f>IF(C44="","AT-"&amp;TEXT(COUNTA($C$5:C44),"000"))</f>
        <v/>
      </c>
      <c r="C44" s="13" t="n"/>
      <c r="D44" s="13" t="n"/>
      <c r="E44" s="13" t="n"/>
      <c r="F44" s="13" t="n"/>
      <c r="G44" s="29" t="n"/>
      <c r="H44" s="13" t="n"/>
      <c r="I44" s="13" t="n"/>
      <c r="J44" s="13" t="n"/>
      <c r="K44" s="13" t="n"/>
      <c r="L44" s="13" t="n"/>
      <c r="M44" s="23" t="n"/>
      <c r="N44" s="13" t="n"/>
      <c r="O44">
        <f>IFERROR(COUNTIF('7-Visites Medicales'!C5:C104,C44),0)</f>
        <v/>
      </c>
      <c r="P44">
        <f>IFERROR(MAXIFS('7-Visites Medicales'!H5:H104,'7-Visites Medicales'!C5:C104,C44),"")</f>
        <v/>
      </c>
    </row>
    <row r="45" ht="22" customHeight="1">
      <c r="B45" s="16">
        <f>IF(C45="","AT-"&amp;TEXT(COUNTA($C$5:C45),"000"))</f>
        <v/>
      </c>
      <c r="C45" s="11" t="n"/>
      <c r="D45" s="11" t="n"/>
      <c r="E45" s="11" t="n"/>
      <c r="F45" s="11" t="n"/>
      <c r="G45" s="28" t="n"/>
      <c r="H45" s="11" t="n"/>
      <c r="I45" s="11" t="n"/>
      <c r="J45" s="11" t="n"/>
      <c r="K45" s="11" t="n"/>
      <c r="L45" s="11" t="n"/>
      <c r="M45" s="22" t="n"/>
      <c r="N45" s="11" t="n"/>
      <c r="O45">
        <f>IFERROR(COUNTIF('7-Visites Medicales'!C5:C104,C45),0)</f>
        <v/>
      </c>
      <c r="P45">
        <f>IFERROR(MAXIFS('7-Visites Medicales'!H5:H104,'7-Visites Medicales'!C5:C104,C45),"")</f>
        <v/>
      </c>
    </row>
    <row r="46" ht="22" customHeight="1">
      <c r="B46" s="15">
        <f>IF(C46="","AT-"&amp;TEXT(COUNTA($C$5:C46),"000"))</f>
        <v/>
      </c>
      <c r="C46" s="13" t="n"/>
      <c r="D46" s="13" t="n"/>
      <c r="E46" s="13" t="n"/>
      <c r="F46" s="13" t="n"/>
      <c r="G46" s="29" t="n"/>
      <c r="H46" s="13" t="n"/>
      <c r="I46" s="13" t="n"/>
      <c r="J46" s="13" t="n"/>
      <c r="K46" s="13" t="n"/>
      <c r="L46" s="13" t="n"/>
      <c r="M46" s="23" t="n"/>
      <c r="N46" s="13" t="n"/>
      <c r="O46">
        <f>IFERROR(COUNTIF('7-Visites Medicales'!C5:C104,C46),0)</f>
        <v/>
      </c>
      <c r="P46">
        <f>IFERROR(MAXIFS('7-Visites Medicales'!H5:H104,'7-Visites Medicales'!C5:C104,C46),"")</f>
        <v/>
      </c>
    </row>
    <row r="47" ht="22" customHeight="1">
      <c r="B47" s="16">
        <f>IF(C47="","AT-"&amp;TEXT(COUNTA($C$5:C47),"000"))</f>
        <v/>
      </c>
      <c r="C47" s="11" t="n"/>
      <c r="D47" s="11" t="n"/>
      <c r="E47" s="11" t="n"/>
      <c r="F47" s="11" t="n"/>
      <c r="G47" s="28" t="n"/>
      <c r="H47" s="11" t="n"/>
      <c r="I47" s="11" t="n"/>
      <c r="J47" s="11" t="n"/>
      <c r="K47" s="11" t="n"/>
      <c r="L47" s="11" t="n"/>
      <c r="M47" s="22" t="n"/>
      <c r="N47" s="11" t="n"/>
      <c r="O47">
        <f>IFERROR(COUNTIF('7-Visites Medicales'!C5:C104,C47),0)</f>
        <v/>
      </c>
      <c r="P47">
        <f>IFERROR(MAXIFS('7-Visites Medicales'!H5:H104,'7-Visites Medicales'!C5:C104,C47),"")</f>
        <v/>
      </c>
    </row>
    <row r="48" ht="22" customHeight="1">
      <c r="B48" s="15">
        <f>IF(C48="","AT-"&amp;TEXT(COUNTA($C$5:C48),"000"))</f>
        <v/>
      </c>
      <c r="C48" s="13" t="n"/>
      <c r="D48" s="13" t="n"/>
      <c r="E48" s="13" t="n"/>
      <c r="F48" s="13" t="n"/>
      <c r="G48" s="29" t="n"/>
      <c r="H48" s="13" t="n"/>
      <c r="I48" s="13" t="n"/>
      <c r="J48" s="13" t="n"/>
      <c r="K48" s="13" t="n"/>
      <c r="L48" s="13" t="n"/>
      <c r="M48" s="23" t="n"/>
      <c r="N48" s="13" t="n"/>
      <c r="O48">
        <f>IFERROR(COUNTIF('7-Visites Medicales'!C5:C104,C48),0)</f>
        <v/>
      </c>
      <c r="P48">
        <f>IFERROR(MAXIFS('7-Visites Medicales'!H5:H104,'7-Visites Medicales'!C5:C104,C48),"")</f>
        <v/>
      </c>
    </row>
    <row r="49" ht="22" customHeight="1">
      <c r="B49" s="16">
        <f>IF(C49="","AT-"&amp;TEXT(COUNTA($C$5:C49),"000"))</f>
        <v/>
      </c>
      <c r="C49" s="11" t="n"/>
      <c r="D49" s="11" t="n"/>
      <c r="E49" s="11" t="n"/>
      <c r="F49" s="11" t="n"/>
      <c r="G49" s="28" t="n"/>
      <c r="H49" s="11" t="n"/>
      <c r="I49" s="11" t="n"/>
      <c r="J49" s="11" t="n"/>
      <c r="K49" s="11" t="n"/>
      <c r="L49" s="11" t="n"/>
      <c r="M49" s="22" t="n"/>
      <c r="N49" s="11" t="n"/>
      <c r="O49">
        <f>IFERROR(COUNTIF('7-Visites Medicales'!C5:C104,C49),0)</f>
        <v/>
      </c>
      <c r="P49">
        <f>IFERROR(MAXIFS('7-Visites Medicales'!H5:H104,'7-Visites Medicales'!C5:C104,C49),"")</f>
        <v/>
      </c>
    </row>
    <row r="50" ht="22" customHeight="1">
      <c r="B50" s="15">
        <f>IF(C50="","AT-"&amp;TEXT(COUNTA($C$5:C50),"000"))</f>
        <v/>
      </c>
      <c r="C50" s="13" t="n"/>
      <c r="D50" s="13" t="n"/>
      <c r="E50" s="13" t="n"/>
      <c r="F50" s="13" t="n"/>
      <c r="G50" s="29" t="n"/>
      <c r="H50" s="13" t="n"/>
      <c r="I50" s="13" t="n"/>
      <c r="J50" s="13" t="n"/>
      <c r="K50" s="13" t="n"/>
      <c r="L50" s="13" t="n"/>
      <c r="M50" s="23" t="n"/>
      <c r="N50" s="13" t="n"/>
      <c r="O50">
        <f>IFERROR(COUNTIF('7-Visites Medicales'!C5:C104,C50),0)</f>
        <v/>
      </c>
      <c r="P50">
        <f>IFERROR(MAXIFS('7-Visites Medicales'!H5:H104,'7-Visites Medicales'!C5:C104,C50),"")</f>
        <v/>
      </c>
    </row>
    <row r="51" ht="22" customHeight="1">
      <c r="B51" s="16">
        <f>IF(C51="","AT-"&amp;TEXT(COUNTA($C$5:C51),"000"))</f>
        <v/>
      </c>
      <c r="C51" s="11" t="n"/>
      <c r="D51" s="11" t="n"/>
      <c r="E51" s="11" t="n"/>
      <c r="F51" s="11" t="n"/>
      <c r="G51" s="28" t="n"/>
      <c r="H51" s="11" t="n"/>
      <c r="I51" s="11" t="n"/>
      <c r="J51" s="11" t="n"/>
      <c r="K51" s="11" t="n"/>
      <c r="L51" s="11" t="n"/>
      <c r="M51" s="22" t="n"/>
      <c r="N51" s="11" t="n"/>
      <c r="O51">
        <f>IFERROR(COUNTIF('7-Visites Medicales'!C5:C104,C51),0)</f>
        <v/>
      </c>
      <c r="P51">
        <f>IFERROR(MAXIFS('7-Visites Medicales'!H5:H104,'7-Visites Medicales'!C5:C104,C51),"")</f>
        <v/>
      </c>
    </row>
    <row r="52" ht="22" customHeight="1">
      <c r="B52" s="15">
        <f>IF(C52="","AT-"&amp;TEXT(COUNTA($C$5:C52),"000"))</f>
        <v/>
      </c>
      <c r="C52" s="13" t="n"/>
      <c r="D52" s="13" t="n"/>
      <c r="E52" s="13" t="n"/>
      <c r="F52" s="13" t="n"/>
      <c r="G52" s="29" t="n"/>
      <c r="H52" s="13" t="n"/>
      <c r="I52" s="13" t="n"/>
      <c r="J52" s="13" t="n"/>
      <c r="K52" s="13" t="n"/>
      <c r="L52" s="13" t="n"/>
      <c r="M52" s="23" t="n"/>
      <c r="N52" s="13" t="n"/>
      <c r="O52">
        <f>IFERROR(COUNTIF('7-Visites Medicales'!C5:C104,C52),0)</f>
        <v/>
      </c>
      <c r="P52">
        <f>IFERROR(MAXIFS('7-Visites Medicales'!H5:H104,'7-Visites Medicales'!C5:C104,C52),"")</f>
        <v/>
      </c>
    </row>
    <row r="53" ht="22" customHeight="1">
      <c r="B53" s="16">
        <f>IF(C53="","AT-"&amp;TEXT(COUNTA($C$5:C53),"000"))</f>
        <v/>
      </c>
      <c r="C53" s="11" t="n"/>
      <c r="D53" s="11" t="n"/>
      <c r="E53" s="11" t="n"/>
      <c r="F53" s="11" t="n"/>
      <c r="G53" s="28" t="n"/>
      <c r="H53" s="11" t="n"/>
      <c r="I53" s="11" t="n"/>
      <c r="J53" s="11" t="n"/>
      <c r="K53" s="11" t="n"/>
      <c r="L53" s="11" t="n"/>
      <c r="M53" s="22" t="n"/>
      <c r="N53" s="11" t="n"/>
      <c r="O53">
        <f>IFERROR(COUNTIF('7-Visites Medicales'!C5:C104,C53),0)</f>
        <v/>
      </c>
      <c r="P53">
        <f>IFERROR(MAXIFS('7-Visites Medicales'!H5:H104,'7-Visites Medicales'!C5:C104,C53),"")</f>
        <v/>
      </c>
    </row>
    <row r="54" ht="22" customHeight="1">
      <c r="B54" s="15">
        <f>IF(C54="","AT-"&amp;TEXT(COUNTA($C$5:C54),"000"))</f>
        <v/>
      </c>
      <c r="C54" s="13" t="n"/>
      <c r="D54" s="13" t="n"/>
      <c r="E54" s="13" t="n"/>
      <c r="F54" s="13" t="n"/>
      <c r="G54" s="29" t="n"/>
      <c r="H54" s="13" t="n"/>
      <c r="I54" s="13" t="n"/>
      <c r="J54" s="13" t="n"/>
      <c r="K54" s="13" t="n"/>
      <c r="L54" s="13" t="n"/>
      <c r="M54" s="23" t="n"/>
      <c r="N54" s="13" t="n"/>
      <c r="O54">
        <f>IFERROR(COUNTIF('7-Visites Medicales'!C5:C104,C54),0)</f>
        <v/>
      </c>
      <c r="P54">
        <f>IFERROR(MAXIFS('7-Visites Medicales'!H5:H104,'7-Visites Medicales'!C5:C104,C54),"")</f>
        <v/>
      </c>
    </row>
    <row r="55" ht="22" customHeight="1">
      <c r="B55" s="16">
        <f>IF(C55="","AT-"&amp;TEXT(COUNTA($C$5:C55),"000"))</f>
        <v/>
      </c>
      <c r="C55" s="11" t="n"/>
      <c r="D55" s="11" t="n"/>
      <c r="E55" s="11" t="n"/>
      <c r="F55" s="11" t="n"/>
      <c r="G55" s="28" t="n"/>
      <c r="H55" s="11" t="n"/>
      <c r="I55" s="11" t="n"/>
      <c r="J55" s="11" t="n"/>
      <c r="K55" s="11" t="n"/>
      <c r="L55" s="11" t="n"/>
      <c r="M55" s="22" t="n"/>
      <c r="N55" s="11" t="n"/>
      <c r="O55">
        <f>IFERROR(COUNTIF('7-Visites Medicales'!C5:C104,C55),0)</f>
        <v/>
      </c>
      <c r="P55">
        <f>IFERROR(MAXIFS('7-Visites Medicales'!H5:H104,'7-Visites Medicales'!C5:C104,C55),"")</f>
        <v/>
      </c>
    </row>
    <row r="56" ht="22" customHeight="1">
      <c r="B56" s="15">
        <f>IF(C56="","AT-"&amp;TEXT(COUNTA($C$5:C56),"000"))</f>
        <v/>
      </c>
      <c r="C56" s="13" t="n"/>
      <c r="D56" s="13" t="n"/>
      <c r="E56" s="13" t="n"/>
      <c r="F56" s="13" t="n"/>
      <c r="G56" s="29" t="n"/>
      <c r="H56" s="13" t="n"/>
      <c r="I56" s="13" t="n"/>
      <c r="J56" s="13" t="n"/>
      <c r="K56" s="13" t="n"/>
      <c r="L56" s="13" t="n"/>
      <c r="M56" s="23" t="n"/>
      <c r="N56" s="13" t="n"/>
      <c r="O56">
        <f>IFERROR(COUNTIF('7-Visites Medicales'!C5:C104,C56),0)</f>
        <v/>
      </c>
      <c r="P56">
        <f>IFERROR(MAXIFS('7-Visites Medicales'!H5:H104,'7-Visites Medicales'!C5:C104,C56),"")</f>
        <v/>
      </c>
    </row>
    <row r="57" ht="22" customHeight="1">
      <c r="B57" s="16">
        <f>IF(C57="","AT-"&amp;TEXT(COUNTA($C$5:C57),"000"))</f>
        <v/>
      </c>
      <c r="C57" s="11" t="n"/>
      <c r="D57" s="11" t="n"/>
      <c r="E57" s="11" t="n"/>
      <c r="F57" s="11" t="n"/>
      <c r="G57" s="28" t="n"/>
      <c r="H57" s="11" t="n"/>
      <c r="I57" s="11" t="n"/>
      <c r="J57" s="11" t="n"/>
      <c r="K57" s="11" t="n"/>
      <c r="L57" s="11" t="n"/>
      <c r="M57" s="22" t="n"/>
      <c r="N57" s="11" t="n"/>
      <c r="O57">
        <f>IFERROR(COUNTIF('7-Visites Medicales'!C5:C104,C57),0)</f>
        <v/>
      </c>
      <c r="P57">
        <f>IFERROR(MAXIFS('7-Visites Medicales'!H5:H104,'7-Visites Medicales'!C5:C104,C57),"")</f>
        <v/>
      </c>
    </row>
    <row r="58" ht="22" customHeight="1">
      <c r="B58" s="15">
        <f>IF(C58="","AT-"&amp;TEXT(COUNTA($C$5:C58),"000"))</f>
        <v/>
      </c>
      <c r="C58" s="13" t="n"/>
      <c r="D58" s="13" t="n"/>
      <c r="E58" s="13" t="n"/>
      <c r="F58" s="13" t="n"/>
      <c r="G58" s="29" t="n"/>
      <c r="H58" s="13" t="n"/>
      <c r="I58" s="13" t="n"/>
      <c r="J58" s="13" t="n"/>
      <c r="K58" s="13" t="n"/>
      <c r="L58" s="13" t="n"/>
      <c r="M58" s="23" t="n"/>
      <c r="N58" s="13" t="n"/>
      <c r="O58">
        <f>IFERROR(COUNTIF('7-Visites Medicales'!C5:C104,C58),0)</f>
        <v/>
      </c>
      <c r="P58">
        <f>IFERROR(MAXIFS('7-Visites Medicales'!H5:H104,'7-Visites Medicales'!C5:C104,C58),"")</f>
        <v/>
      </c>
    </row>
    <row r="59" ht="22" customHeight="1">
      <c r="B59" s="16">
        <f>IF(C59="","AT-"&amp;TEXT(COUNTA($C$5:C59),"000"))</f>
        <v/>
      </c>
      <c r="C59" s="11" t="n"/>
      <c r="D59" s="11" t="n"/>
      <c r="E59" s="11" t="n"/>
      <c r="F59" s="11" t="n"/>
      <c r="G59" s="28" t="n"/>
      <c r="H59" s="11" t="n"/>
      <c r="I59" s="11" t="n"/>
      <c r="J59" s="11" t="n"/>
      <c r="K59" s="11" t="n"/>
      <c r="L59" s="11" t="n"/>
      <c r="M59" s="22" t="n"/>
      <c r="N59" s="11" t="n"/>
      <c r="O59">
        <f>IFERROR(COUNTIF('7-Visites Medicales'!C5:C104,C59),0)</f>
        <v/>
      </c>
      <c r="P59">
        <f>IFERROR(MAXIFS('7-Visites Medicales'!H5:H104,'7-Visites Medicales'!C5:C104,C59),"")</f>
        <v/>
      </c>
    </row>
    <row r="60" ht="22" customHeight="1">
      <c r="B60" s="15">
        <f>IF(C60="","AT-"&amp;TEXT(COUNTA($C$5:C60),"000"))</f>
        <v/>
      </c>
      <c r="C60" s="13" t="n"/>
      <c r="D60" s="13" t="n"/>
      <c r="E60" s="13" t="n"/>
      <c r="F60" s="13" t="n"/>
      <c r="G60" s="29" t="n"/>
      <c r="H60" s="13" t="n"/>
      <c r="I60" s="13" t="n"/>
      <c r="J60" s="13" t="n"/>
      <c r="K60" s="13" t="n"/>
      <c r="L60" s="13" t="n"/>
      <c r="M60" s="23" t="n"/>
      <c r="N60" s="13" t="n"/>
      <c r="O60">
        <f>IFERROR(COUNTIF('7-Visites Medicales'!C5:C104,C60),0)</f>
        <v/>
      </c>
      <c r="P60">
        <f>IFERROR(MAXIFS('7-Visites Medicales'!H5:H104,'7-Visites Medicales'!C5:C104,C60),"")</f>
        <v/>
      </c>
    </row>
    <row r="61" ht="22" customHeight="1">
      <c r="B61" s="16">
        <f>IF(C61="","AT-"&amp;TEXT(COUNTA($C$5:C61),"000"))</f>
        <v/>
      </c>
      <c r="C61" s="11" t="n"/>
      <c r="D61" s="11" t="n"/>
      <c r="E61" s="11" t="n"/>
      <c r="F61" s="11" t="n"/>
      <c r="G61" s="28" t="n"/>
      <c r="H61" s="11" t="n"/>
      <c r="I61" s="11" t="n"/>
      <c r="J61" s="11" t="n"/>
      <c r="K61" s="11" t="n"/>
      <c r="L61" s="11" t="n"/>
      <c r="M61" s="22" t="n"/>
      <c r="N61" s="11" t="n"/>
      <c r="O61">
        <f>IFERROR(COUNTIF('7-Visites Medicales'!C5:C104,C61),0)</f>
        <v/>
      </c>
      <c r="P61">
        <f>IFERROR(MAXIFS('7-Visites Medicales'!H5:H104,'7-Visites Medicales'!C5:C104,C61),"")</f>
        <v/>
      </c>
    </row>
    <row r="62" ht="22" customHeight="1">
      <c r="B62" s="15">
        <f>IF(C62="","AT-"&amp;TEXT(COUNTA($C$5:C62),"000"))</f>
        <v/>
      </c>
      <c r="C62" s="13" t="n"/>
      <c r="D62" s="13" t="n"/>
      <c r="E62" s="13" t="n"/>
      <c r="F62" s="13" t="n"/>
      <c r="G62" s="29" t="n"/>
      <c r="H62" s="13" t="n"/>
      <c r="I62" s="13" t="n"/>
      <c r="J62" s="13" t="n"/>
      <c r="K62" s="13" t="n"/>
      <c r="L62" s="13" t="n"/>
      <c r="M62" s="23" t="n"/>
      <c r="N62" s="13" t="n"/>
      <c r="O62">
        <f>IFERROR(COUNTIF('7-Visites Medicales'!C5:C104,C62),0)</f>
        <v/>
      </c>
      <c r="P62">
        <f>IFERROR(MAXIFS('7-Visites Medicales'!H5:H104,'7-Visites Medicales'!C5:C104,C62),"")</f>
        <v/>
      </c>
    </row>
    <row r="63" ht="22" customHeight="1">
      <c r="B63" s="16">
        <f>IF(C63="","AT-"&amp;TEXT(COUNTA($C$5:C63),"000"))</f>
        <v/>
      </c>
      <c r="C63" s="11" t="n"/>
      <c r="D63" s="11" t="n"/>
      <c r="E63" s="11" t="n"/>
      <c r="F63" s="11" t="n"/>
      <c r="G63" s="28" t="n"/>
      <c r="H63" s="11" t="n"/>
      <c r="I63" s="11" t="n"/>
      <c r="J63" s="11" t="n"/>
      <c r="K63" s="11" t="n"/>
      <c r="L63" s="11" t="n"/>
      <c r="M63" s="22" t="n"/>
      <c r="N63" s="11" t="n"/>
      <c r="O63">
        <f>IFERROR(COUNTIF('7-Visites Medicales'!C5:C104,C63),0)</f>
        <v/>
      </c>
      <c r="P63">
        <f>IFERROR(MAXIFS('7-Visites Medicales'!H5:H104,'7-Visites Medicales'!C5:C104,C63),"")</f>
        <v/>
      </c>
    </row>
    <row r="64" ht="22" customHeight="1">
      <c r="B64" s="15">
        <f>IF(C64="","AT-"&amp;TEXT(COUNTA($C$5:C64),"000"))</f>
        <v/>
      </c>
      <c r="C64" s="13" t="n"/>
      <c r="D64" s="13" t="n"/>
      <c r="E64" s="13" t="n"/>
      <c r="F64" s="13" t="n"/>
      <c r="G64" s="29" t="n"/>
      <c r="H64" s="13" t="n"/>
      <c r="I64" s="13" t="n"/>
      <c r="J64" s="13" t="n"/>
      <c r="K64" s="13" t="n"/>
      <c r="L64" s="13" t="n"/>
      <c r="M64" s="23" t="n"/>
      <c r="N64" s="13" t="n"/>
      <c r="O64">
        <f>IFERROR(COUNTIF('7-Visites Medicales'!C5:C104,C64),0)</f>
        <v/>
      </c>
      <c r="P64">
        <f>IFERROR(MAXIFS('7-Visites Medicales'!H5:H104,'7-Visites Medicales'!C5:C104,C64),"")</f>
        <v/>
      </c>
    </row>
    <row r="65" ht="22" customHeight="1">
      <c r="B65" s="16">
        <f>IF(C65="","AT-"&amp;TEXT(COUNTA($C$5:C65),"000"))</f>
        <v/>
      </c>
      <c r="C65" s="11" t="n"/>
      <c r="D65" s="11" t="n"/>
      <c r="E65" s="11" t="n"/>
      <c r="F65" s="11" t="n"/>
      <c r="G65" s="28" t="n"/>
      <c r="H65" s="11" t="n"/>
      <c r="I65" s="11" t="n"/>
      <c r="J65" s="11" t="n"/>
      <c r="K65" s="11" t="n"/>
      <c r="L65" s="11" t="n"/>
      <c r="M65" s="22" t="n"/>
      <c r="N65" s="11" t="n"/>
      <c r="O65">
        <f>IFERROR(COUNTIF('7-Visites Medicales'!C5:C104,C65),0)</f>
        <v/>
      </c>
      <c r="P65">
        <f>IFERROR(MAXIFS('7-Visites Medicales'!H5:H104,'7-Visites Medicales'!C5:C104,C65),"")</f>
        <v/>
      </c>
    </row>
    <row r="66" ht="22" customHeight="1">
      <c r="B66" s="15">
        <f>IF(C66="","AT-"&amp;TEXT(COUNTA($C$5:C66),"000"))</f>
        <v/>
      </c>
      <c r="C66" s="13" t="n"/>
      <c r="D66" s="13" t="n"/>
      <c r="E66" s="13" t="n"/>
      <c r="F66" s="13" t="n"/>
      <c r="G66" s="29" t="n"/>
      <c r="H66" s="13" t="n"/>
      <c r="I66" s="13" t="n"/>
      <c r="J66" s="13" t="n"/>
      <c r="K66" s="13" t="n"/>
      <c r="L66" s="13" t="n"/>
      <c r="M66" s="23" t="n"/>
      <c r="N66" s="13" t="n"/>
      <c r="O66">
        <f>IFERROR(COUNTIF('7-Visites Medicales'!C5:C104,C66),0)</f>
        <v/>
      </c>
      <c r="P66">
        <f>IFERROR(MAXIFS('7-Visites Medicales'!H5:H104,'7-Visites Medicales'!C5:C104,C66),"")</f>
        <v/>
      </c>
    </row>
    <row r="67" ht="22" customHeight="1">
      <c r="B67" s="16">
        <f>IF(C67="","AT-"&amp;TEXT(COUNTA($C$5:C67),"000"))</f>
        <v/>
      </c>
      <c r="C67" s="11" t="n"/>
      <c r="D67" s="11" t="n"/>
      <c r="E67" s="11" t="n"/>
      <c r="F67" s="11" t="n"/>
      <c r="G67" s="28" t="n"/>
      <c r="H67" s="11" t="n"/>
      <c r="I67" s="11" t="n"/>
      <c r="J67" s="11" t="n"/>
      <c r="K67" s="11" t="n"/>
      <c r="L67" s="11" t="n"/>
      <c r="M67" s="22" t="n"/>
      <c r="N67" s="11" t="n"/>
      <c r="O67">
        <f>IFERROR(COUNTIF('7-Visites Medicales'!C5:C104,C67),0)</f>
        <v/>
      </c>
      <c r="P67">
        <f>IFERROR(MAXIFS('7-Visites Medicales'!H5:H104,'7-Visites Medicales'!C5:C104,C67),"")</f>
        <v/>
      </c>
    </row>
    <row r="68" ht="22" customHeight="1">
      <c r="B68" s="15">
        <f>IF(C68="","AT-"&amp;TEXT(COUNTA($C$5:C68),"000"))</f>
        <v/>
      </c>
      <c r="C68" s="13" t="n"/>
      <c r="D68" s="13" t="n"/>
      <c r="E68" s="13" t="n"/>
      <c r="F68" s="13" t="n"/>
      <c r="G68" s="29" t="n"/>
      <c r="H68" s="13" t="n"/>
      <c r="I68" s="13" t="n"/>
      <c r="J68" s="13" t="n"/>
      <c r="K68" s="13" t="n"/>
      <c r="L68" s="13" t="n"/>
      <c r="M68" s="23" t="n"/>
      <c r="N68" s="13" t="n"/>
      <c r="O68">
        <f>IFERROR(COUNTIF('7-Visites Medicales'!C5:C104,C68),0)</f>
        <v/>
      </c>
      <c r="P68">
        <f>IFERROR(MAXIFS('7-Visites Medicales'!H5:H104,'7-Visites Medicales'!C5:C104,C68),"")</f>
        <v/>
      </c>
    </row>
    <row r="69" ht="22" customHeight="1">
      <c r="B69" s="16">
        <f>IF(C69="","AT-"&amp;TEXT(COUNTA($C$5:C69),"000"))</f>
        <v/>
      </c>
      <c r="C69" s="11" t="n"/>
      <c r="D69" s="11" t="n"/>
      <c r="E69" s="11" t="n"/>
      <c r="F69" s="11" t="n"/>
      <c r="G69" s="28" t="n"/>
      <c r="H69" s="11" t="n"/>
      <c r="I69" s="11" t="n"/>
      <c r="J69" s="11" t="n"/>
      <c r="K69" s="11" t="n"/>
      <c r="L69" s="11" t="n"/>
      <c r="M69" s="22" t="n"/>
      <c r="N69" s="11" t="n"/>
      <c r="O69">
        <f>IFERROR(COUNTIF('7-Visites Medicales'!C5:C104,C69),0)</f>
        <v/>
      </c>
      <c r="P69">
        <f>IFERROR(MAXIFS('7-Visites Medicales'!H5:H104,'7-Visites Medicales'!C5:C104,C69),"")</f>
        <v/>
      </c>
    </row>
    <row r="70" ht="22" customHeight="1">
      <c r="B70" s="15">
        <f>IF(C70="","AT-"&amp;TEXT(COUNTA($C$5:C70),"000"))</f>
        <v/>
      </c>
      <c r="C70" s="13" t="n"/>
      <c r="D70" s="13" t="n"/>
      <c r="E70" s="13" t="n"/>
      <c r="F70" s="13" t="n"/>
      <c r="G70" s="29" t="n"/>
      <c r="H70" s="13" t="n"/>
      <c r="I70" s="13" t="n"/>
      <c r="J70" s="13" t="n"/>
      <c r="K70" s="13" t="n"/>
      <c r="L70" s="13" t="n"/>
      <c r="M70" s="23" t="n"/>
      <c r="N70" s="13" t="n"/>
      <c r="O70">
        <f>IFERROR(COUNTIF('7-Visites Medicales'!C5:C104,C70),0)</f>
        <v/>
      </c>
      <c r="P70">
        <f>IFERROR(MAXIFS('7-Visites Medicales'!H5:H104,'7-Visites Medicales'!C5:C104,C70),"")</f>
        <v/>
      </c>
    </row>
    <row r="71" ht="22" customHeight="1">
      <c r="B71" s="16">
        <f>IF(C71="","AT-"&amp;TEXT(COUNTA($C$5:C71),"000"))</f>
        <v/>
      </c>
      <c r="C71" s="11" t="n"/>
      <c r="D71" s="11" t="n"/>
      <c r="E71" s="11" t="n"/>
      <c r="F71" s="11" t="n"/>
      <c r="G71" s="28" t="n"/>
      <c r="H71" s="11" t="n"/>
      <c r="I71" s="11" t="n"/>
      <c r="J71" s="11" t="n"/>
      <c r="K71" s="11" t="n"/>
      <c r="L71" s="11" t="n"/>
      <c r="M71" s="22" t="n"/>
      <c r="N71" s="11" t="n"/>
      <c r="O71">
        <f>IFERROR(COUNTIF('7-Visites Medicales'!C5:C104,C71),0)</f>
        <v/>
      </c>
      <c r="P71">
        <f>IFERROR(MAXIFS('7-Visites Medicales'!H5:H104,'7-Visites Medicales'!C5:C104,C71),"")</f>
        <v/>
      </c>
    </row>
    <row r="72" ht="22" customHeight="1">
      <c r="B72" s="15">
        <f>IF(C72="","AT-"&amp;TEXT(COUNTA($C$5:C72),"000"))</f>
        <v/>
      </c>
      <c r="C72" s="13" t="n"/>
      <c r="D72" s="13" t="n"/>
      <c r="E72" s="13" t="n"/>
      <c r="F72" s="13" t="n"/>
      <c r="G72" s="29" t="n"/>
      <c r="H72" s="13" t="n"/>
      <c r="I72" s="13" t="n"/>
      <c r="J72" s="13" t="n"/>
      <c r="K72" s="13" t="n"/>
      <c r="L72" s="13" t="n"/>
      <c r="M72" s="23" t="n"/>
      <c r="N72" s="13" t="n"/>
      <c r="O72">
        <f>IFERROR(COUNTIF('7-Visites Medicales'!C5:C104,C72),0)</f>
        <v/>
      </c>
      <c r="P72">
        <f>IFERROR(MAXIFS('7-Visites Medicales'!H5:H104,'7-Visites Medicales'!C5:C104,C72),"")</f>
        <v/>
      </c>
    </row>
    <row r="73" ht="22" customHeight="1">
      <c r="B73" s="16">
        <f>IF(C73="","AT-"&amp;TEXT(COUNTA($C$5:C73),"000"))</f>
        <v/>
      </c>
      <c r="C73" s="11" t="n"/>
      <c r="D73" s="11" t="n"/>
      <c r="E73" s="11" t="n"/>
      <c r="F73" s="11" t="n"/>
      <c r="G73" s="28" t="n"/>
      <c r="H73" s="11" t="n"/>
      <c r="I73" s="11" t="n"/>
      <c r="J73" s="11" t="n"/>
      <c r="K73" s="11" t="n"/>
      <c r="L73" s="11" t="n"/>
      <c r="M73" s="22" t="n"/>
      <c r="N73" s="11" t="n"/>
      <c r="O73">
        <f>IFERROR(COUNTIF('7-Visites Medicales'!C5:C104,C73),0)</f>
        <v/>
      </c>
      <c r="P73">
        <f>IFERROR(MAXIFS('7-Visites Medicales'!H5:H104,'7-Visites Medicales'!C5:C104,C73),"")</f>
        <v/>
      </c>
    </row>
    <row r="74" ht="22" customHeight="1">
      <c r="B74" s="15">
        <f>IF(C74="","AT-"&amp;TEXT(COUNTA($C$5:C74),"000"))</f>
        <v/>
      </c>
      <c r="C74" s="13" t="n"/>
      <c r="D74" s="13" t="n"/>
      <c r="E74" s="13" t="n"/>
      <c r="F74" s="13" t="n"/>
      <c r="G74" s="29" t="n"/>
      <c r="H74" s="13" t="n"/>
      <c r="I74" s="13" t="n"/>
      <c r="J74" s="13" t="n"/>
      <c r="K74" s="13" t="n"/>
      <c r="L74" s="13" t="n"/>
      <c r="M74" s="23" t="n"/>
      <c r="N74" s="13" t="n"/>
      <c r="O74">
        <f>IFERROR(COUNTIF('7-Visites Medicales'!C5:C104,C74),0)</f>
        <v/>
      </c>
      <c r="P74">
        <f>IFERROR(MAXIFS('7-Visites Medicales'!H5:H104,'7-Visites Medicales'!C5:C104,C74),"")</f>
        <v/>
      </c>
    </row>
    <row r="75" ht="22" customHeight="1">
      <c r="B75" s="16">
        <f>IF(C75="","AT-"&amp;TEXT(COUNTA($C$5:C75),"000"))</f>
        <v/>
      </c>
      <c r="C75" s="11" t="n"/>
      <c r="D75" s="11" t="n"/>
      <c r="E75" s="11" t="n"/>
      <c r="F75" s="11" t="n"/>
      <c r="G75" s="28" t="n"/>
      <c r="H75" s="11" t="n"/>
      <c r="I75" s="11" t="n"/>
      <c r="J75" s="11" t="n"/>
      <c r="K75" s="11" t="n"/>
      <c r="L75" s="11" t="n"/>
      <c r="M75" s="22" t="n"/>
      <c r="N75" s="11" t="n"/>
      <c r="O75">
        <f>IFERROR(COUNTIF('7-Visites Medicales'!C5:C104,C75),0)</f>
        <v/>
      </c>
      <c r="P75">
        <f>IFERROR(MAXIFS('7-Visites Medicales'!H5:H104,'7-Visites Medicales'!C5:C104,C75),"")</f>
        <v/>
      </c>
    </row>
    <row r="76" ht="22" customHeight="1">
      <c r="B76" s="15">
        <f>IF(C76="","AT-"&amp;TEXT(COUNTA($C$5:C76),"000"))</f>
        <v/>
      </c>
      <c r="C76" s="13" t="n"/>
      <c r="D76" s="13" t="n"/>
      <c r="E76" s="13" t="n"/>
      <c r="F76" s="13" t="n"/>
      <c r="G76" s="29" t="n"/>
      <c r="H76" s="13" t="n"/>
      <c r="I76" s="13" t="n"/>
      <c r="J76" s="13" t="n"/>
      <c r="K76" s="13" t="n"/>
      <c r="L76" s="13" t="n"/>
      <c r="M76" s="23" t="n"/>
      <c r="N76" s="13" t="n"/>
      <c r="O76">
        <f>IFERROR(COUNTIF('7-Visites Medicales'!C5:C104,C76),0)</f>
        <v/>
      </c>
      <c r="P76">
        <f>IFERROR(MAXIFS('7-Visites Medicales'!H5:H104,'7-Visites Medicales'!C5:C104,C76),"")</f>
        <v/>
      </c>
    </row>
    <row r="77" ht="22" customHeight="1">
      <c r="B77" s="16">
        <f>IF(C77="","AT-"&amp;TEXT(COUNTA($C$5:C77),"000"))</f>
        <v/>
      </c>
      <c r="C77" s="11" t="n"/>
      <c r="D77" s="11" t="n"/>
      <c r="E77" s="11" t="n"/>
      <c r="F77" s="11" t="n"/>
      <c r="G77" s="28" t="n"/>
      <c r="H77" s="11" t="n"/>
      <c r="I77" s="11" t="n"/>
      <c r="J77" s="11" t="n"/>
      <c r="K77" s="11" t="n"/>
      <c r="L77" s="11" t="n"/>
      <c r="M77" s="22" t="n"/>
      <c r="N77" s="11" t="n"/>
      <c r="O77">
        <f>IFERROR(COUNTIF('7-Visites Medicales'!C5:C104,C77),0)</f>
        <v/>
      </c>
      <c r="P77">
        <f>IFERROR(MAXIFS('7-Visites Medicales'!H5:H104,'7-Visites Medicales'!C5:C104,C77),"")</f>
        <v/>
      </c>
    </row>
    <row r="78" ht="22" customHeight="1">
      <c r="B78" s="15">
        <f>IF(C78="","AT-"&amp;TEXT(COUNTA($C$5:C78),"000"))</f>
        <v/>
      </c>
      <c r="C78" s="13" t="n"/>
      <c r="D78" s="13" t="n"/>
      <c r="E78" s="13" t="n"/>
      <c r="F78" s="13" t="n"/>
      <c r="G78" s="29" t="n"/>
      <c r="H78" s="13" t="n"/>
      <c r="I78" s="13" t="n"/>
      <c r="J78" s="13" t="n"/>
      <c r="K78" s="13" t="n"/>
      <c r="L78" s="13" t="n"/>
      <c r="M78" s="23" t="n"/>
      <c r="N78" s="13" t="n"/>
      <c r="O78">
        <f>IFERROR(COUNTIF('7-Visites Medicales'!C5:C104,C78),0)</f>
        <v/>
      </c>
      <c r="P78">
        <f>IFERROR(MAXIFS('7-Visites Medicales'!H5:H104,'7-Visites Medicales'!C5:C104,C78),"")</f>
        <v/>
      </c>
    </row>
    <row r="79" ht="22" customHeight="1">
      <c r="B79" s="16">
        <f>IF(C79="","AT-"&amp;TEXT(COUNTA($C$5:C79),"000"))</f>
        <v/>
      </c>
      <c r="C79" s="11" t="n"/>
      <c r="D79" s="11" t="n"/>
      <c r="E79" s="11" t="n"/>
      <c r="F79" s="11" t="n"/>
      <c r="G79" s="28" t="n"/>
      <c r="H79" s="11" t="n"/>
      <c r="I79" s="11" t="n"/>
      <c r="J79" s="11" t="n"/>
      <c r="K79" s="11" t="n"/>
      <c r="L79" s="11" t="n"/>
      <c r="M79" s="22" t="n"/>
      <c r="N79" s="11" t="n"/>
      <c r="O79">
        <f>IFERROR(COUNTIF('7-Visites Medicales'!C5:C104,C79),0)</f>
        <v/>
      </c>
      <c r="P79">
        <f>IFERROR(MAXIFS('7-Visites Medicales'!H5:H104,'7-Visites Medicales'!C5:C104,C79),"")</f>
        <v/>
      </c>
    </row>
    <row r="80" ht="22" customHeight="1">
      <c r="B80" s="15">
        <f>IF(C80="","AT-"&amp;TEXT(COUNTA($C$5:C80),"000"))</f>
        <v/>
      </c>
      <c r="C80" s="13" t="n"/>
      <c r="D80" s="13" t="n"/>
      <c r="E80" s="13" t="n"/>
      <c r="F80" s="13" t="n"/>
      <c r="G80" s="29" t="n"/>
      <c r="H80" s="13" t="n"/>
      <c r="I80" s="13" t="n"/>
      <c r="J80" s="13" t="n"/>
      <c r="K80" s="13" t="n"/>
      <c r="L80" s="13" t="n"/>
      <c r="M80" s="23" t="n"/>
      <c r="N80" s="13" t="n"/>
      <c r="O80">
        <f>IFERROR(COUNTIF('7-Visites Medicales'!C5:C104,C80),0)</f>
        <v/>
      </c>
      <c r="P80">
        <f>IFERROR(MAXIFS('7-Visites Medicales'!H5:H104,'7-Visites Medicales'!C5:C104,C80),"")</f>
        <v/>
      </c>
    </row>
    <row r="81" ht="22" customHeight="1">
      <c r="B81" s="16">
        <f>IF(C81="","AT-"&amp;TEXT(COUNTA($C$5:C81),"000"))</f>
        <v/>
      </c>
      <c r="C81" s="11" t="n"/>
      <c r="D81" s="11" t="n"/>
      <c r="E81" s="11" t="n"/>
      <c r="F81" s="11" t="n"/>
      <c r="G81" s="28" t="n"/>
      <c r="H81" s="11" t="n"/>
      <c r="I81" s="11" t="n"/>
      <c r="J81" s="11" t="n"/>
      <c r="K81" s="11" t="n"/>
      <c r="L81" s="11" t="n"/>
      <c r="M81" s="22" t="n"/>
      <c r="N81" s="11" t="n"/>
      <c r="O81">
        <f>IFERROR(COUNTIF('7-Visites Medicales'!C5:C104,C81),0)</f>
        <v/>
      </c>
      <c r="P81">
        <f>IFERROR(MAXIFS('7-Visites Medicales'!H5:H104,'7-Visites Medicales'!C5:C104,C81),"")</f>
        <v/>
      </c>
    </row>
    <row r="82" ht="22" customHeight="1">
      <c r="B82" s="15">
        <f>IF(C82="","AT-"&amp;TEXT(COUNTA($C$5:C82),"000"))</f>
        <v/>
      </c>
      <c r="C82" s="13" t="n"/>
      <c r="D82" s="13" t="n"/>
      <c r="E82" s="13" t="n"/>
      <c r="F82" s="13" t="n"/>
      <c r="G82" s="29" t="n"/>
      <c r="H82" s="13" t="n"/>
      <c r="I82" s="13" t="n"/>
      <c r="J82" s="13" t="n"/>
      <c r="K82" s="13" t="n"/>
      <c r="L82" s="13" t="n"/>
      <c r="M82" s="23" t="n"/>
      <c r="N82" s="13" t="n"/>
      <c r="O82">
        <f>IFERROR(COUNTIF('7-Visites Medicales'!C5:C104,C82),0)</f>
        <v/>
      </c>
      <c r="P82">
        <f>IFERROR(MAXIFS('7-Visites Medicales'!H5:H104,'7-Visites Medicales'!C5:C104,C82),"")</f>
        <v/>
      </c>
    </row>
    <row r="83" ht="22" customHeight="1">
      <c r="B83" s="16">
        <f>IF(C83="","AT-"&amp;TEXT(COUNTA($C$5:C83),"000"))</f>
        <v/>
      </c>
      <c r="C83" s="11" t="n"/>
      <c r="D83" s="11" t="n"/>
      <c r="E83" s="11" t="n"/>
      <c r="F83" s="11" t="n"/>
      <c r="G83" s="28" t="n"/>
      <c r="H83" s="11" t="n"/>
      <c r="I83" s="11" t="n"/>
      <c r="J83" s="11" t="n"/>
      <c r="K83" s="11" t="n"/>
      <c r="L83" s="11" t="n"/>
      <c r="M83" s="22" t="n"/>
      <c r="N83" s="11" t="n"/>
      <c r="O83">
        <f>IFERROR(COUNTIF('7-Visites Medicales'!C5:C104,C83),0)</f>
        <v/>
      </c>
      <c r="P83">
        <f>IFERROR(MAXIFS('7-Visites Medicales'!H5:H104,'7-Visites Medicales'!C5:C104,C83),"")</f>
        <v/>
      </c>
    </row>
    <row r="84" ht="22" customHeight="1">
      <c r="B84" s="15">
        <f>IF(C84="","AT-"&amp;TEXT(COUNTA($C$5:C84),"000"))</f>
        <v/>
      </c>
      <c r="C84" s="13" t="n"/>
      <c r="D84" s="13" t="n"/>
      <c r="E84" s="13" t="n"/>
      <c r="F84" s="13" t="n"/>
      <c r="G84" s="29" t="n"/>
      <c r="H84" s="13" t="n"/>
      <c r="I84" s="13" t="n"/>
      <c r="J84" s="13" t="n"/>
      <c r="K84" s="13" t="n"/>
      <c r="L84" s="13" t="n"/>
      <c r="M84" s="23" t="n"/>
      <c r="N84" s="13" t="n"/>
      <c r="O84">
        <f>IFERROR(COUNTIF('7-Visites Medicales'!C5:C104,C84),0)</f>
        <v/>
      </c>
      <c r="P84">
        <f>IFERROR(MAXIFS('7-Visites Medicales'!H5:H104,'7-Visites Medicales'!C5:C104,C84),"")</f>
        <v/>
      </c>
    </row>
    <row r="85" ht="22" customHeight="1">
      <c r="B85" s="16">
        <f>IF(C85="","AT-"&amp;TEXT(COUNTA($C$5:C85),"000"))</f>
        <v/>
      </c>
      <c r="C85" s="11" t="n"/>
      <c r="D85" s="11" t="n"/>
      <c r="E85" s="11" t="n"/>
      <c r="F85" s="11" t="n"/>
      <c r="G85" s="28" t="n"/>
      <c r="H85" s="11" t="n"/>
      <c r="I85" s="11" t="n"/>
      <c r="J85" s="11" t="n"/>
      <c r="K85" s="11" t="n"/>
      <c r="L85" s="11" t="n"/>
      <c r="M85" s="22" t="n"/>
      <c r="N85" s="11" t="n"/>
      <c r="O85">
        <f>IFERROR(COUNTIF('7-Visites Medicales'!C5:C104,C85),0)</f>
        <v/>
      </c>
      <c r="P85">
        <f>IFERROR(MAXIFS('7-Visites Medicales'!H5:H104,'7-Visites Medicales'!C5:C104,C85),"")</f>
        <v/>
      </c>
    </row>
    <row r="86" ht="22" customHeight="1">
      <c r="B86" s="15">
        <f>IF(C86="","AT-"&amp;TEXT(COUNTA($C$5:C86),"000"))</f>
        <v/>
      </c>
      <c r="C86" s="13" t="n"/>
      <c r="D86" s="13" t="n"/>
      <c r="E86" s="13" t="n"/>
      <c r="F86" s="13" t="n"/>
      <c r="G86" s="29" t="n"/>
      <c r="H86" s="13" t="n"/>
      <c r="I86" s="13" t="n"/>
      <c r="J86" s="13" t="n"/>
      <c r="K86" s="13" t="n"/>
      <c r="L86" s="13" t="n"/>
      <c r="M86" s="23" t="n"/>
      <c r="N86" s="13" t="n"/>
      <c r="O86">
        <f>IFERROR(COUNTIF('7-Visites Medicales'!C5:C104,C86),0)</f>
        <v/>
      </c>
      <c r="P86">
        <f>IFERROR(MAXIFS('7-Visites Medicales'!H5:H104,'7-Visites Medicales'!C5:C104,C86),"")</f>
        <v/>
      </c>
    </row>
    <row r="87" ht="22" customHeight="1">
      <c r="B87" s="16">
        <f>IF(C87="","AT-"&amp;TEXT(COUNTA($C$5:C87),"000"))</f>
        <v/>
      </c>
      <c r="C87" s="11" t="n"/>
      <c r="D87" s="11" t="n"/>
      <c r="E87" s="11" t="n"/>
      <c r="F87" s="11" t="n"/>
      <c r="G87" s="28" t="n"/>
      <c r="H87" s="11" t="n"/>
      <c r="I87" s="11" t="n"/>
      <c r="J87" s="11" t="n"/>
      <c r="K87" s="11" t="n"/>
      <c r="L87" s="11" t="n"/>
      <c r="M87" s="22" t="n"/>
      <c r="N87" s="11" t="n"/>
      <c r="O87">
        <f>IFERROR(COUNTIF('7-Visites Medicales'!C5:C104,C87),0)</f>
        <v/>
      </c>
      <c r="P87">
        <f>IFERROR(MAXIFS('7-Visites Medicales'!H5:H104,'7-Visites Medicales'!C5:C104,C87),"")</f>
        <v/>
      </c>
    </row>
    <row r="88" ht="22" customHeight="1">
      <c r="B88" s="15">
        <f>IF(C88="","AT-"&amp;TEXT(COUNTA($C$5:C88),"000"))</f>
        <v/>
      </c>
      <c r="C88" s="13" t="n"/>
      <c r="D88" s="13" t="n"/>
      <c r="E88" s="13" t="n"/>
      <c r="F88" s="13" t="n"/>
      <c r="G88" s="29" t="n"/>
      <c r="H88" s="13" t="n"/>
      <c r="I88" s="13" t="n"/>
      <c r="J88" s="13" t="n"/>
      <c r="K88" s="13" t="n"/>
      <c r="L88" s="13" t="n"/>
      <c r="M88" s="23" t="n"/>
      <c r="N88" s="13" t="n"/>
      <c r="O88">
        <f>IFERROR(COUNTIF('7-Visites Medicales'!C5:C104,C88),0)</f>
        <v/>
      </c>
      <c r="P88">
        <f>IFERROR(MAXIFS('7-Visites Medicales'!H5:H104,'7-Visites Medicales'!C5:C104,C88),"")</f>
        <v/>
      </c>
    </row>
    <row r="89" ht="22" customHeight="1">
      <c r="B89" s="16">
        <f>IF(C89="","AT-"&amp;TEXT(COUNTA($C$5:C89),"000"))</f>
        <v/>
      </c>
      <c r="C89" s="11" t="n"/>
      <c r="D89" s="11" t="n"/>
      <c r="E89" s="11" t="n"/>
      <c r="F89" s="11" t="n"/>
      <c r="G89" s="28" t="n"/>
      <c r="H89" s="11" t="n"/>
      <c r="I89" s="11" t="n"/>
      <c r="J89" s="11" t="n"/>
      <c r="K89" s="11" t="n"/>
      <c r="L89" s="11" t="n"/>
      <c r="M89" s="22" t="n"/>
      <c r="N89" s="11" t="n"/>
      <c r="O89">
        <f>IFERROR(COUNTIF('7-Visites Medicales'!C5:C104,C89),0)</f>
        <v/>
      </c>
      <c r="P89">
        <f>IFERROR(MAXIFS('7-Visites Medicales'!H5:H104,'7-Visites Medicales'!C5:C104,C89),"")</f>
        <v/>
      </c>
    </row>
    <row r="90" ht="22" customHeight="1">
      <c r="B90" s="15">
        <f>IF(C90="","AT-"&amp;TEXT(COUNTA($C$5:C90),"000"))</f>
        <v/>
      </c>
      <c r="C90" s="13" t="n"/>
      <c r="D90" s="13" t="n"/>
      <c r="E90" s="13" t="n"/>
      <c r="F90" s="13" t="n"/>
      <c r="G90" s="29" t="n"/>
      <c r="H90" s="13" t="n"/>
      <c r="I90" s="13" t="n"/>
      <c r="J90" s="13" t="n"/>
      <c r="K90" s="13" t="n"/>
      <c r="L90" s="13" t="n"/>
      <c r="M90" s="23" t="n"/>
      <c r="N90" s="13" t="n"/>
      <c r="O90">
        <f>IFERROR(COUNTIF('7-Visites Medicales'!C5:C104,C90),0)</f>
        <v/>
      </c>
      <c r="P90">
        <f>IFERROR(MAXIFS('7-Visites Medicales'!H5:H104,'7-Visites Medicales'!C5:C104,C90),"")</f>
        <v/>
      </c>
    </row>
    <row r="91" ht="22" customHeight="1">
      <c r="B91" s="16">
        <f>IF(C91="","AT-"&amp;TEXT(COUNTA($C$5:C91),"000"))</f>
        <v/>
      </c>
      <c r="C91" s="11" t="n"/>
      <c r="D91" s="11" t="n"/>
      <c r="E91" s="11" t="n"/>
      <c r="F91" s="11" t="n"/>
      <c r="G91" s="28" t="n"/>
      <c r="H91" s="11" t="n"/>
      <c r="I91" s="11" t="n"/>
      <c r="J91" s="11" t="n"/>
      <c r="K91" s="11" t="n"/>
      <c r="L91" s="11" t="n"/>
      <c r="M91" s="22" t="n"/>
      <c r="N91" s="11" t="n"/>
      <c r="O91">
        <f>IFERROR(COUNTIF('7-Visites Medicales'!C5:C104,C91),0)</f>
        <v/>
      </c>
      <c r="P91">
        <f>IFERROR(MAXIFS('7-Visites Medicales'!H5:H104,'7-Visites Medicales'!C5:C104,C91),"")</f>
        <v/>
      </c>
    </row>
    <row r="92" ht="22" customHeight="1">
      <c r="B92" s="15">
        <f>IF(C92="","AT-"&amp;TEXT(COUNTA($C$5:C92),"000"))</f>
        <v/>
      </c>
      <c r="C92" s="13" t="n"/>
      <c r="D92" s="13" t="n"/>
      <c r="E92" s="13" t="n"/>
      <c r="F92" s="13" t="n"/>
      <c r="G92" s="29" t="n"/>
      <c r="H92" s="13" t="n"/>
      <c r="I92" s="13" t="n"/>
      <c r="J92" s="13" t="n"/>
      <c r="K92" s="13" t="n"/>
      <c r="L92" s="13" t="n"/>
      <c r="M92" s="23" t="n"/>
      <c r="N92" s="13" t="n"/>
      <c r="O92">
        <f>IFERROR(COUNTIF('7-Visites Medicales'!C5:C104,C92),0)</f>
        <v/>
      </c>
      <c r="P92">
        <f>IFERROR(MAXIFS('7-Visites Medicales'!H5:H104,'7-Visites Medicales'!C5:C104,C92),"")</f>
        <v/>
      </c>
    </row>
    <row r="93" ht="22" customHeight="1">
      <c r="B93" s="16">
        <f>IF(C93="","AT-"&amp;TEXT(COUNTA($C$5:C93),"000"))</f>
        <v/>
      </c>
      <c r="C93" s="11" t="n"/>
      <c r="D93" s="11" t="n"/>
      <c r="E93" s="11" t="n"/>
      <c r="F93" s="11" t="n"/>
      <c r="G93" s="28" t="n"/>
      <c r="H93" s="11" t="n"/>
      <c r="I93" s="11" t="n"/>
      <c r="J93" s="11" t="n"/>
      <c r="K93" s="11" t="n"/>
      <c r="L93" s="11" t="n"/>
      <c r="M93" s="22" t="n"/>
      <c r="N93" s="11" t="n"/>
      <c r="O93">
        <f>IFERROR(COUNTIF('7-Visites Medicales'!C5:C104,C93),0)</f>
        <v/>
      </c>
      <c r="P93">
        <f>IFERROR(MAXIFS('7-Visites Medicales'!H5:H104,'7-Visites Medicales'!C5:C104,C93),"")</f>
        <v/>
      </c>
    </row>
    <row r="94" ht="22" customHeight="1">
      <c r="B94" s="15">
        <f>IF(C94="","AT-"&amp;TEXT(COUNTA($C$5:C94),"000"))</f>
        <v/>
      </c>
      <c r="C94" s="13" t="n"/>
      <c r="D94" s="13" t="n"/>
      <c r="E94" s="13" t="n"/>
      <c r="F94" s="13" t="n"/>
      <c r="G94" s="29" t="n"/>
      <c r="H94" s="13" t="n"/>
      <c r="I94" s="13" t="n"/>
      <c r="J94" s="13" t="n"/>
      <c r="K94" s="13" t="n"/>
      <c r="L94" s="13" t="n"/>
      <c r="M94" s="23" t="n"/>
      <c r="N94" s="13" t="n"/>
      <c r="O94">
        <f>IFERROR(COUNTIF('7-Visites Medicales'!C5:C104,C94),0)</f>
        <v/>
      </c>
      <c r="P94">
        <f>IFERROR(MAXIFS('7-Visites Medicales'!H5:H104,'7-Visites Medicales'!C5:C104,C94),"")</f>
        <v/>
      </c>
    </row>
    <row r="95" ht="22" customHeight="1">
      <c r="B95" s="16">
        <f>IF(C95="","AT-"&amp;TEXT(COUNTA($C$5:C95),"000"))</f>
        <v/>
      </c>
      <c r="C95" s="11" t="n"/>
      <c r="D95" s="11" t="n"/>
      <c r="E95" s="11" t="n"/>
      <c r="F95" s="11" t="n"/>
      <c r="G95" s="28" t="n"/>
      <c r="H95" s="11" t="n"/>
      <c r="I95" s="11" t="n"/>
      <c r="J95" s="11" t="n"/>
      <c r="K95" s="11" t="n"/>
      <c r="L95" s="11" t="n"/>
      <c r="M95" s="22" t="n"/>
      <c r="N95" s="11" t="n"/>
      <c r="O95">
        <f>IFERROR(COUNTIF('7-Visites Medicales'!C5:C104,C95),0)</f>
        <v/>
      </c>
      <c r="P95">
        <f>IFERROR(MAXIFS('7-Visites Medicales'!H5:H104,'7-Visites Medicales'!C5:C104,C95),"")</f>
        <v/>
      </c>
    </row>
    <row r="96" ht="22" customHeight="1">
      <c r="B96" s="15">
        <f>IF(C96="","AT-"&amp;TEXT(COUNTA($C$5:C96),"000"))</f>
        <v/>
      </c>
      <c r="C96" s="13" t="n"/>
      <c r="D96" s="13" t="n"/>
      <c r="E96" s="13" t="n"/>
      <c r="F96" s="13" t="n"/>
      <c r="G96" s="29" t="n"/>
      <c r="H96" s="13" t="n"/>
      <c r="I96" s="13" t="n"/>
      <c r="J96" s="13" t="n"/>
      <c r="K96" s="13" t="n"/>
      <c r="L96" s="13" t="n"/>
      <c r="M96" s="23" t="n"/>
      <c r="N96" s="13" t="n"/>
      <c r="O96">
        <f>IFERROR(COUNTIF('7-Visites Medicales'!C5:C104,C96),0)</f>
        <v/>
      </c>
      <c r="P96">
        <f>IFERROR(MAXIFS('7-Visites Medicales'!H5:H104,'7-Visites Medicales'!C5:C104,C96),"")</f>
        <v/>
      </c>
    </row>
    <row r="97" ht="22" customHeight="1">
      <c r="B97" s="16">
        <f>IF(C97="","AT-"&amp;TEXT(COUNTA($C$5:C97),"000"))</f>
        <v/>
      </c>
      <c r="C97" s="11" t="n"/>
      <c r="D97" s="11" t="n"/>
      <c r="E97" s="11" t="n"/>
      <c r="F97" s="11" t="n"/>
      <c r="G97" s="28" t="n"/>
      <c r="H97" s="11" t="n"/>
      <c r="I97" s="11" t="n"/>
      <c r="J97" s="11" t="n"/>
      <c r="K97" s="11" t="n"/>
      <c r="L97" s="11" t="n"/>
      <c r="M97" s="22" t="n"/>
      <c r="N97" s="11" t="n"/>
      <c r="O97">
        <f>IFERROR(COUNTIF('7-Visites Medicales'!C5:C104,C97),0)</f>
        <v/>
      </c>
      <c r="P97">
        <f>IFERROR(MAXIFS('7-Visites Medicales'!H5:H104,'7-Visites Medicales'!C5:C104,C97),"")</f>
        <v/>
      </c>
    </row>
    <row r="98" ht="22" customHeight="1">
      <c r="B98" s="15">
        <f>IF(C98="","AT-"&amp;TEXT(COUNTA($C$5:C98),"000"))</f>
        <v/>
      </c>
      <c r="C98" s="13" t="n"/>
      <c r="D98" s="13" t="n"/>
      <c r="E98" s="13" t="n"/>
      <c r="F98" s="13" t="n"/>
      <c r="G98" s="29" t="n"/>
      <c r="H98" s="13" t="n"/>
      <c r="I98" s="13" t="n"/>
      <c r="J98" s="13" t="n"/>
      <c r="K98" s="13" t="n"/>
      <c r="L98" s="13" t="n"/>
      <c r="M98" s="23" t="n"/>
      <c r="N98" s="13" t="n"/>
      <c r="O98">
        <f>IFERROR(COUNTIF('7-Visites Medicales'!C5:C104,C98),0)</f>
        <v/>
      </c>
      <c r="P98">
        <f>IFERROR(MAXIFS('7-Visites Medicales'!H5:H104,'7-Visites Medicales'!C5:C104,C98),"")</f>
        <v/>
      </c>
    </row>
    <row r="99" ht="22" customHeight="1">
      <c r="B99" s="16">
        <f>IF(C99="","AT-"&amp;TEXT(COUNTA($C$5:C99),"000"))</f>
        <v/>
      </c>
      <c r="C99" s="11" t="n"/>
      <c r="D99" s="11" t="n"/>
      <c r="E99" s="11" t="n"/>
      <c r="F99" s="11" t="n"/>
      <c r="G99" s="28" t="n"/>
      <c r="H99" s="11" t="n"/>
      <c r="I99" s="11" t="n"/>
      <c r="J99" s="11" t="n"/>
      <c r="K99" s="11" t="n"/>
      <c r="L99" s="11" t="n"/>
      <c r="M99" s="22" t="n"/>
      <c r="N99" s="11" t="n"/>
      <c r="O99">
        <f>IFERROR(COUNTIF('7-Visites Medicales'!C5:C104,C99),0)</f>
        <v/>
      </c>
      <c r="P99">
        <f>IFERROR(MAXIFS('7-Visites Medicales'!H5:H104,'7-Visites Medicales'!C5:C104,C99),"")</f>
        <v/>
      </c>
    </row>
    <row r="100" ht="22" customHeight="1">
      <c r="B100" s="15">
        <f>IF(C100="","AT-"&amp;TEXT(COUNTA($C$5:C100),"000"))</f>
        <v/>
      </c>
      <c r="C100" s="13" t="n"/>
      <c r="D100" s="13" t="n"/>
      <c r="E100" s="13" t="n"/>
      <c r="F100" s="13" t="n"/>
      <c r="G100" s="29" t="n"/>
      <c r="H100" s="13" t="n"/>
      <c r="I100" s="13" t="n"/>
      <c r="J100" s="13" t="n"/>
      <c r="K100" s="13" t="n"/>
      <c r="L100" s="13" t="n"/>
      <c r="M100" s="23" t="n"/>
      <c r="N100" s="13" t="n"/>
      <c r="O100">
        <f>IFERROR(COUNTIF('7-Visites Medicales'!C5:C104,C100),0)</f>
        <v/>
      </c>
      <c r="P100">
        <f>IFERROR(MAXIFS('7-Visites Medicales'!H5:H104,'7-Visites Medicales'!C5:C104,C100),"")</f>
        <v/>
      </c>
    </row>
    <row r="101" ht="22" customHeight="1">
      <c r="B101" s="16">
        <f>IF(C101="","AT-"&amp;TEXT(COUNTA($C$5:C101),"000"))</f>
        <v/>
      </c>
      <c r="C101" s="11" t="n"/>
      <c r="D101" s="11" t="n"/>
      <c r="E101" s="11" t="n"/>
      <c r="F101" s="11" t="n"/>
      <c r="G101" s="28" t="n"/>
      <c r="H101" s="11" t="n"/>
      <c r="I101" s="11" t="n"/>
      <c r="J101" s="11" t="n"/>
      <c r="K101" s="11" t="n"/>
      <c r="L101" s="11" t="n"/>
      <c r="M101" s="22" t="n"/>
      <c r="N101" s="11" t="n"/>
      <c r="O101">
        <f>IFERROR(COUNTIF('7-Visites Medicales'!C5:C104,C101),0)</f>
        <v/>
      </c>
      <c r="P101">
        <f>IFERROR(MAXIFS('7-Visites Medicales'!H5:H104,'7-Visites Medicales'!C5:C104,C101),"")</f>
        <v/>
      </c>
    </row>
    <row r="102" ht="22" customHeight="1">
      <c r="B102" s="15">
        <f>IF(C102="","AT-"&amp;TEXT(COUNTA($C$5:C102),"000"))</f>
        <v/>
      </c>
      <c r="C102" s="13" t="n"/>
      <c r="D102" s="13" t="n"/>
      <c r="E102" s="13" t="n"/>
      <c r="F102" s="13" t="n"/>
      <c r="G102" s="29" t="n"/>
      <c r="H102" s="13" t="n"/>
      <c r="I102" s="13" t="n"/>
      <c r="J102" s="13" t="n"/>
      <c r="K102" s="13" t="n"/>
      <c r="L102" s="13" t="n"/>
      <c r="M102" s="23" t="n"/>
      <c r="N102" s="13" t="n"/>
      <c r="O102">
        <f>IFERROR(COUNTIF('7-Visites Medicales'!C5:C104,C102),0)</f>
        <v/>
      </c>
      <c r="P102">
        <f>IFERROR(MAXIFS('7-Visites Medicales'!H5:H104,'7-Visites Medicales'!C5:C104,C102),"")</f>
        <v/>
      </c>
    </row>
    <row r="103" ht="22" customHeight="1">
      <c r="B103" s="16">
        <f>IF(C103="","AT-"&amp;TEXT(COUNTA($C$5:C103),"000"))</f>
        <v/>
      </c>
      <c r="C103" s="11" t="n"/>
      <c r="D103" s="11" t="n"/>
      <c r="E103" s="11" t="n"/>
      <c r="F103" s="11" t="n"/>
      <c r="G103" s="28" t="n"/>
      <c r="H103" s="11" t="n"/>
      <c r="I103" s="11" t="n"/>
      <c r="J103" s="11" t="n"/>
      <c r="K103" s="11" t="n"/>
      <c r="L103" s="11" t="n"/>
      <c r="M103" s="22" t="n"/>
      <c r="N103" s="11" t="n"/>
      <c r="O103">
        <f>IFERROR(COUNTIF('7-Visites Medicales'!C5:C104,C103),0)</f>
        <v/>
      </c>
      <c r="P103">
        <f>IFERROR(MAXIFS('7-Visites Medicales'!H5:H104,'7-Visites Medicales'!C5:C104,C103),"")</f>
        <v/>
      </c>
    </row>
    <row r="104" ht="22" customHeight="1">
      <c r="B104" s="15">
        <f>IF(C104="","AT-"&amp;TEXT(COUNTA($C$5:C104),"000"))</f>
        <v/>
      </c>
      <c r="C104" s="13" t="n"/>
      <c r="D104" s="13" t="n"/>
      <c r="E104" s="13" t="n"/>
      <c r="F104" s="13" t="n"/>
      <c r="G104" s="29" t="n"/>
      <c r="H104" s="13" t="n"/>
      <c r="I104" s="13" t="n"/>
      <c r="J104" s="13" t="n"/>
      <c r="K104" s="13" t="n"/>
      <c r="L104" s="13" t="n"/>
      <c r="M104" s="23" t="n"/>
      <c r="N104" s="13" t="n"/>
      <c r="O104">
        <f>IFERROR(COUNTIF('7-Visites Medicales'!C5:C104,C104),0)</f>
        <v/>
      </c>
      <c r="P104">
        <f>IFERROR(MAXIFS('7-Visites Medicales'!H5:H104,'7-Visites Medicales'!C5:C104,C104),"")</f>
        <v/>
      </c>
    </row>
    <row r="105" ht="22" customHeight="1">
      <c r="B105" s="16">
        <f>IF(C105="","AT-"&amp;TEXT(COUNTA($C$5:C105),"000"))</f>
        <v/>
      </c>
      <c r="C105" s="11" t="n"/>
      <c r="D105" s="11" t="n"/>
      <c r="E105" s="11" t="n"/>
      <c r="F105" s="11" t="n"/>
      <c r="G105" s="28" t="n"/>
      <c r="H105" s="11" t="n"/>
      <c r="I105" s="11" t="n"/>
      <c r="J105" s="11" t="n"/>
      <c r="K105" s="11" t="n"/>
      <c r="L105" s="11" t="n"/>
      <c r="M105" s="22" t="n"/>
      <c r="N105" s="11" t="n"/>
      <c r="O105">
        <f>IFERROR(COUNTIF('7-Visites Medicales'!C5:C104,C105),0)</f>
        <v/>
      </c>
      <c r="P105">
        <f>IFERROR(MAXIFS('7-Visites Medicales'!H5:H104,'7-Visites Medicales'!C5:C104,C105),"")</f>
        <v/>
      </c>
    </row>
    <row r="106" ht="22" customHeight="1">
      <c r="B106" s="15">
        <f>IF(C106="","AT-"&amp;TEXT(COUNTA($C$5:C106),"000"))</f>
        <v/>
      </c>
      <c r="C106" s="13" t="n"/>
      <c r="D106" s="13" t="n"/>
      <c r="E106" s="13" t="n"/>
      <c r="F106" s="13" t="n"/>
      <c r="G106" s="29" t="n"/>
      <c r="H106" s="13" t="n"/>
      <c r="I106" s="13" t="n"/>
      <c r="J106" s="13" t="n"/>
      <c r="K106" s="13" t="n"/>
      <c r="L106" s="13" t="n"/>
      <c r="M106" s="23" t="n"/>
      <c r="N106" s="13" t="n"/>
      <c r="O106">
        <f>IFERROR(COUNTIF('7-Visites Medicales'!C5:C104,C106),0)</f>
        <v/>
      </c>
      <c r="P106">
        <f>IFERROR(MAXIFS('7-Visites Medicales'!H5:H104,'7-Visites Medicales'!C5:C104,C106),"")</f>
        <v/>
      </c>
    </row>
    <row r="107" ht="22" customHeight="1">
      <c r="B107" s="16">
        <f>IF(C107="","AT-"&amp;TEXT(COUNTA($C$5:C107),"000"))</f>
        <v/>
      </c>
      <c r="C107" s="11" t="n"/>
      <c r="D107" s="11" t="n"/>
      <c r="E107" s="11" t="n"/>
      <c r="F107" s="11" t="n"/>
      <c r="G107" s="28" t="n"/>
      <c r="H107" s="11" t="n"/>
      <c r="I107" s="11" t="n"/>
      <c r="J107" s="11" t="n"/>
      <c r="K107" s="11" t="n"/>
      <c r="L107" s="11" t="n"/>
      <c r="M107" s="22" t="n"/>
      <c r="N107" s="11" t="n"/>
      <c r="O107">
        <f>IFERROR(COUNTIF('7-Visites Medicales'!C5:C104,C107),0)</f>
        <v/>
      </c>
      <c r="P107">
        <f>IFERROR(MAXIFS('7-Visites Medicales'!H5:H104,'7-Visites Medicales'!C5:C104,C107),"")</f>
        <v/>
      </c>
    </row>
    <row r="108" ht="22" customHeight="1">
      <c r="B108" s="15">
        <f>IF(C108="","AT-"&amp;TEXT(COUNTA($C$5:C108),"000"))</f>
        <v/>
      </c>
      <c r="C108" s="13" t="n"/>
      <c r="D108" s="13" t="n"/>
      <c r="E108" s="13" t="n"/>
      <c r="F108" s="13" t="n"/>
      <c r="G108" s="29" t="n"/>
      <c r="H108" s="13" t="n"/>
      <c r="I108" s="13" t="n"/>
      <c r="J108" s="13" t="n"/>
      <c r="K108" s="13" t="n"/>
      <c r="L108" s="13" t="n"/>
      <c r="M108" s="23" t="n"/>
      <c r="N108" s="13" t="n"/>
      <c r="O108">
        <f>IFERROR(COUNTIF('7-Visites Medicales'!C5:C104,C108),0)</f>
        <v/>
      </c>
      <c r="P108">
        <f>IFERROR(MAXIFS('7-Visites Medicales'!H5:H104,'7-Visites Medicales'!C5:C104,C108),"")</f>
        <v/>
      </c>
    </row>
    <row r="109" ht="22" customHeight="1">
      <c r="B109" s="16">
        <f>IF(C109="","AT-"&amp;TEXT(COUNTA($C$5:C109),"000"))</f>
        <v/>
      </c>
      <c r="C109" s="11" t="n"/>
      <c r="D109" s="11" t="n"/>
      <c r="E109" s="11" t="n"/>
      <c r="F109" s="11" t="n"/>
      <c r="G109" s="28" t="n"/>
      <c r="H109" s="11" t="n"/>
      <c r="I109" s="11" t="n"/>
      <c r="J109" s="11" t="n"/>
      <c r="K109" s="11" t="n"/>
      <c r="L109" s="11" t="n"/>
      <c r="M109" s="22" t="n"/>
      <c r="N109" s="11" t="n"/>
      <c r="O109">
        <f>IFERROR(COUNTIF('7-Visites Medicales'!C5:C104,C109),0)</f>
        <v/>
      </c>
      <c r="P109">
        <f>IFERROR(MAXIFS('7-Visites Medicales'!H5:H104,'7-Visites Medicales'!C5:C104,C109),"")</f>
        <v/>
      </c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1">
        <f>SUM(M5:M104)</f>
        <v/>
      </c>
      <c r="N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Accidents</t>
        </is>
      </c>
      <c r="D114" s="3" t="inlineStr">
        <is>
          <t>Total jours arret</t>
        </is>
      </c>
      <c r="F114" s="3" t="inlineStr">
        <is>
          <t>Indemnises</t>
        </is>
      </c>
      <c r="H114" s="3" t="inlineStr">
        <is>
          <t>Graves (&gt;8j arret)</t>
        </is>
      </c>
    </row>
    <row r="115">
      <c r="B115" s="4">
        <f>COUNTIF(B5:B104,"&lt;&gt;")</f>
        <v/>
      </c>
      <c r="D115" s="4">
        <f>SUM(M5:M104)</f>
        <v/>
      </c>
      <c r="F115" s="4">
        <f>COUNTIF(N5:N104,"Indemnise")</f>
        <v/>
      </c>
      <c r="H115" s="4">
        <f>COUNTIF(M5:M104,"&gt;8")</f>
        <v/>
      </c>
    </row>
    <row r="116">
      <c r="B116" t="inlineStr">
        <is>
          <t>En cours d'enquete</t>
        </is>
      </c>
      <c r="D116">
        <f>COUNTIF(N5:N104,"En cours d'enquete")</f>
        <v/>
      </c>
    </row>
    <row r="117">
      <c r="B117" t="inlineStr">
        <is>
          <t>Declarés CNPS</t>
        </is>
      </c>
      <c r="D117">
        <f>COUNTIF(N5:N104,"Declaration CNPS")</f>
        <v/>
      </c>
    </row>
  </sheetData>
  <mergeCells count="3">
    <mergeCell ref="B3:N3"/>
    <mergeCell ref="B2:N2"/>
    <mergeCell ref="B113:N113"/>
  </mergeCells>
  <conditionalFormatting sqref="N5:N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conditionalFormatting sqref="K10:K109">
    <cfRule type="expression" priority="159" dxfId="0">
      <formula>AND($C10="",$C9&lt;&gt;"")</formula>
    </cfRule>
  </conditionalFormatting>
  <conditionalFormatting sqref="L10:L109">
    <cfRule type="expression" priority="160" dxfId="0">
      <formula>AND($C10="",$C9&lt;&gt;"")</formula>
    </cfRule>
  </conditionalFormatting>
  <conditionalFormatting sqref="M10:M109">
    <cfRule type="expression" priority="161" dxfId="0">
      <formula>AND($C10="",$C9&lt;&gt;"")</formula>
    </cfRule>
  </conditionalFormatting>
  <conditionalFormatting sqref="N10:N109">
    <cfRule type="expression" priority="162" dxfId="0">
      <formula>AND($C10="",$C9&lt;&gt;"")</formula>
    </cfRule>
  </conditionalFormatting>
  <dataValidations count="6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I5:I109" showDropDown="0" showInputMessage="0" showErrorMessage="0" allowBlank="1" errorTitle="Erreur" error="Valeur invalide" promptTitle="Liste" prompt="Choisir dans la liste" type="list">
      <formula1>'_Lists'!$H$2:$H$15</formula1>
    </dataValidation>
    <dataValidation sqref="J5:J109" showDropDown="0" showInputMessage="0" showErrorMessage="0" allowBlank="1" errorTitle="Erreur" error="Valeur invalide" promptTitle="Liste" prompt="Choisir dans la liste" type="list">
      <formula1>'_Lists'!$I$2:$I$11</formula1>
    </dataValidation>
    <dataValidation sqref="L5:L109" showDropDown="0" showInputMessage="0" showErrorMessage="0" allowBlank="1" errorTitle="Erreur" error="Valeur invalide" promptTitle="Liste" prompt="Choisir dans la liste" type="list">
      <formula1>'_Lists'!$G$2:$G$6</formula1>
    </dataValidation>
    <dataValidation sqref="N5:N109" showDropDown="0" showInputMessage="0" showErrorMessage="0" allowBlank="1" errorTitle="Erreur" error="Valeur invalide" promptTitle="Liste" prompt="Choisir dans la liste" type="list">
      <formula1>'_Lists'!$J$2:$J$8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36" customWidth="1" min="7" max="7"/>
    <col width="18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 ht="15" customHeight="1"/>
    <row r="2" ht="32" customHeight="1">
      <c r="B2" s="1" t="inlineStr">
        <is>
          <t>MALADIES PROFESSIONNELLES (#101)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Matricule</t>
        </is>
      </c>
      <c r="D4" s="10" t="inlineStr">
        <is>
          <t>Nom Employe</t>
        </is>
      </c>
      <c r="E4" s="10" t="inlineStr">
        <is>
          <t>Departement</t>
        </is>
      </c>
      <c r="F4" s="10" t="inlineStr">
        <is>
          <t>Poste</t>
        </is>
      </c>
      <c r="G4" s="10" t="inlineStr">
        <is>
          <t>Type Maladie</t>
        </is>
      </c>
      <c r="H4" s="10" t="inlineStr">
        <is>
          <t>Date 1ers Symptomes</t>
        </is>
      </c>
      <c r="I4" s="10" t="inlineStr">
        <is>
          <t>Date Declaration</t>
        </is>
      </c>
      <c r="J4" s="10" t="inlineStr">
        <is>
          <t>Nb Jours Arret</t>
        </is>
      </c>
      <c r="K4" s="10" t="inlineStr">
        <is>
          <t>Medecin Conseil</t>
        </is>
      </c>
      <c r="L4" s="10" t="inlineStr">
        <is>
          <t>Statut</t>
        </is>
      </c>
      <c r="M4" t="inlineStr">
        <is>
          <t>Nb AT liés</t>
        </is>
      </c>
      <c r="N4" t="inlineStr">
        <is>
          <t>Total Jours AT</t>
        </is>
      </c>
    </row>
    <row r="5" ht="22" customHeight="1">
      <c r="B5" s="11" t="inlineStr">
        <is>
          <t>MP-001</t>
        </is>
      </c>
      <c r="C5" s="11" t="inlineStr">
        <is>
          <t>EMP-010</t>
        </is>
      </c>
      <c r="D5" s="11">
        <f>IF(C5="","",VLOOKUP(C5,'_Données Employés'!$B$5:$H$18,4,FALSE)&amp;" "&amp;VLOOKUP(C5,'_Données Employés'!$B$5:$H$18,5,FALSE))</f>
        <v/>
      </c>
      <c r="E5" s="11">
        <f>IF(C5="","",VLOOKUP(C5,'_Données Employés'!$B$5:$H$18,6,FALSE))</f>
        <v/>
      </c>
      <c r="F5" s="11">
        <f>IF(C5="","",VLOOKUP(C5,'_Données Employés'!$B$5:$H$18,7,FALSE))</f>
        <v/>
      </c>
      <c r="G5" s="11" t="inlineStr">
        <is>
          <t>TMS (troubles musculosquelettiques)</t>
        </is>
      </c>
      <c r="H5" s="28" t="n">
        <v>45536</v>
      </c>
      <c r="I5" s="28" t="n">
        <v>45672</v>
      </c>
      <c r="J5" s="22" t="n">
        <v>30</v>
      </c>
      <c r="K5" s="11" t="inlineStr">
        <is>
          <t>Dr. Njifenjou</t>
        </is>
      </c>
      <c r="L5" s="11" t="inlineStr">
        <is>
          <t>Reconnue CNPS</t>
        </is>
      </c>
      <c r="M5">
        <f>IFERROR(COUNTIF('5-Accidents du Travail'!C5:C104,C5),0)</f>
        <v/>
      </c>
      <c r="N5">
        <f>IFERROR(SUMIF('5-Accidents du Travail'!C5:C104,C5,'5-Accidents du Travail'!M5:M104),0)</f>
        <v/>
      </c>
    </row>
    <row r="6" ht="22" customHeight="1">
      <c r="B6" s="13" t="inlineStr">
        <is>
          <t>MP-002</t>
        </is>
      </c>
      <c r="C6" s="13" t="inlineStr">
        <is>
          <t>EMP-009</t>
        </is>
      </c>
      <c r="D6" s="13">
        <f>IF(C6="","",VLOOKUP(C6,'_Données Employés'!$B$5:$H$18,4,FALSE)&amp;" "&amp;VLOOKUP(C6,'_Données Employés'!$B$5:$H$18,5,FALSE))</f>
        <v/>
      </c>
      <c r="E6" s="13">
        <f>IF(C6="","",VLOOKUP(C6,'_Données Employés'!$B$5:$H$18,6,FALSE))</f>
        <v/>
      </c>
      <c r="F6" s="13">
        <f>IF(C6="","",VLOOKUP(C6,'_Données Employés'!$B$5:$H$18,7,FALSE))</f>
        <v/>
      </c>
      <c r="G6" s="13" t="inlineStr">
        <is>
          <t>Lombalgie chronique</t>
        </is>
      </c>
      <c r="H6" s="29" t="n">
        <v>45444</v>
      </c>
      <c r="I6" s="29" t="n">
        <v>45698</v>
      </c>
      <c r="J6" s="23" t="n">
        <v>60</v>
      </c>
      <c r="K6" s="13" t="inlineStr">
        <is>
          <t>Dr. Tchinda</t>
        </is>
      </c>
      <c r="L6" s="13" t="inlineStr">
        <is>
          <t>En cours d'instruction</t>
        </is>
      </c>
      <c r="M6">
        <f>IFERROR(COUNTIF('5-Accidents du Travail'!C5:C104,C6),0)</f>
        <v/>
      </c>
      <c r="N6">
        <f>IFERROR(SUMIF('5-Accidents du Travail'!C5:C104,C6,'5-Accidents du Travail'!M5:M104),0)</f>
        <v/>
      </c>
    </row>
    <row r="7" ht="22" customHeight="1">
      <c r="B7" s="11" t="inlineStr">
        <is>
          <t>MP-003</t>
        </is>
      </c>
      <c r="C7" s="11" t="inlineStr">
        <is>
          <t>EMP-007</t>
        </is>
      </c>
      <c r="D7" s="11">
        <f>IF(C7="","",VLOOKUP(C7,'_Données Employés'!$B$5:$H$18,4,FALSE)&amp;" "&amp;VLOOKUP(C7,'_Données Employés'!$B$5:$H$18,5,FALSE))</f>
        <v/>
      </c>
      <c r="E7" s="11">
        <f>IF(C7="","",VLOOKUP(C7,'_Données Employés'!$B$5:$H$18,6,FALSE))</f>
        <v/>
      </c>
      <c r="F7" s="11">
        <f>IF(C7="","",VLOOKUP(C7,'_Données Employés'!$B$5:$H$18,7,FALSE))</f>
        <v/>
      </c>
      <c r="G7" s="11" t="inlineStr">
        <is>
          <t>Dermatose professionnelle</t>
        </is>
      </c>
      <c r="H7" s="28" t="n">
        <v>45717</v>
      </c>
      <c r="I7" s="28" t="n">
        <v>45797</v>
      </c>
      <c r="J7" s="22" t="n">
        <v>15</v>
      </c>
      <c r="K7" s="11" t="inlineStr">
        <is>
          <t>Dr. Njifenjou</t>
        </is>
      </c>
      <c r="L7" s="11" t="inlineStr">
        <is>
          <t>Reconnue CNPS</t>
        </is>
      </c>
      <c r="M7">
        <f>IFERROR(COUNTIF('5-Accidents du Travail'!C5:C104,C7),0)</f>
        <v/>
      </c>
      <c r="N7">
        <f>IFERROR(SUMIF('5-Accidents du Travail'!C5:C104,C7,'5-Accidents du Travail'!M5:M104),0)</f>
        <v/>
      </c>
    </row>
    <row r="8" ht="22" customHeight="1">
      <c r="B8" s="13" t="inlineStr">
        <is>
          <t>MP-004</t>
        </is>
      </c>
      <c r="C8" s="13" t="inlineStr">
        <is>
          <t>EMP-006</t>
        </is>
      </c>
      <c r="D8" s="13">
        <f>IF(C8="","",VLOOKUP(C8,'_Données Employés'!$B$5:$H$18,4,FALSE)&amp;" "&amp;VLOOKUP(C8,'_Données Employés'!$B$5:$H$18,5,FALSE))</f>
        <v/>
      </c>
      <c r="E8" s="13">
        <f>IF(C8="","",VLOOKUP(C8,'_Données Employés'!$B$5:$H$18,6,FALSE))</f>
        <v/>
      </c>
      <c r="F8" s="13">
        <f>IF(C8="","",VLOOKUP(C8,'_Données Employés'!$B$5:$H$18,7,FALSE))</f>
        <v/>
      </c>
      <c r="G8" s="13" t="inlineStr">
        <is>
          <t>Stress chronique / burnout</t>
        </is>
      </c>
      <c r="H8" s="29" t="n">
        <v>45658</v>
      </c>
      <c r="I8" s="29" t="n">
        <v>45809</v>
      </c>
      <c r="J8" s="23" t="n">
        <v>45</v>
      </c>
      <c r="K8" s="13" t="inlineStr">
        <is>
          <t>Dr. Mbarga</t>
        </is>
      </c>
      <c r="L8" s="13" t="inlineStr">
        <is>
          <t>En contestation</t>
        </is>
      </c>
      <c r="M8">
        <f>IFERROR(COUNTIF('5-Accidents du Travail'!C5:C104,C8),0)</f>
        <v/>
      </c>
      <c r="N8">
        <f>IFERROR(SUMIF('5-Accidents du Travail'!C5:C104,C8,'5-Accidents du Travail'!M5:M104),0)</f>
        <v/>
      </c>
    </row>
    <row r="9" ht="22" customHeight="1">
      <c r="B9" s="16">
        <f>IF(C9="","MP-"&amp;TEXT(COUNTA($C$5:C9),"000"))</f>
        <v/>
      </c>
      <c r="C9" s="11" t="n"/>
      <c r="D9" s="11" t="n"/>
      <c r="E9" s="11" t="n"/>
      <c r="F9" s="11" t="n"/>
      <c r="G9" s="11" t="n"/>
      <c r="H9" s="28" t="n"/>
      <c r="I9" s="28" t="n"/>
      <c r="J9" s="22" t="n"/>
      <c r="K9" s="11" t="n"/>
      <c r="L9" s="11" t="n"/>
      <c r="M9">
        <f>IFERROR(COUNTIF('5-Accidents du Travail'!C5:C104,C9),0)</f>
        <v/>
      </c>
      <c r="N9">
        <f>IFERROR(SUMIF('5-Accidents du Travail'!C5:C104,C9,'5-Accidents du Travail'!M5:M104),0)</f>
        <v/>
      </c>
    </row>
    <row r="10" ht="22" customHeight="1">
      <c r="B10" s="15">
        <f>IF(C10="","MP-"&amp;TEXT(COUNTA($C$5:C10),"000"))</f>
        <v/>
      </c>
      <c r="C10" s="13" t="n"/>
      <c r="D10" s="13" t="n"/>
      <c r="E10" s="13" t="n"/>
      <c r="F10" s="13" t="n"/>
      <c r="G10" s="13" t="n"/>
      <c r="H10" s="29" t="n"/>
      <c r="I10" s="29" t="n"/>
      <c r="J10" s="23" t="n"/>
      <c r="K10" s="13" t="n"/>
      <c r="L10" s="13" t="n"/>
      <c r="M10">
        <f>IFERROR(COUNTIF('5-Accidents du Travail'!C5:C104,C10),0)</f>
        <v/>
      </c>
      <c r="N10">
        <f>IFERROR(SUMIF('5-Accidents du Travail'!C5:C104,C10,'5-Accidents du Travail'!M5:M104),0)</f>
        <v/>
      </c>
    </row>
    <row r="11" ht="22" customHeight="1">
      <c r="B11" s="16">
        <f>IF(C11="","MP-"&amp;TEXT(COUNTA($C$5:C11),"000"))</f>
        <v/>
      </c>
      <c r="C11" s="11" t="n"/>
      <c r="D11" s="11" t="n"/>
      <c r="E11" s="11" t="n"/>
      <c r="F11" s="11" t="n"/>
      <c r="G11" s="11" t="n"/>
      <c r="H11" s="28" t="n"/>
      <c r="I11" s="28" t="n"/>
      <c r="J11" s="22" t="n"/>
      <c r="K11" s="11" t="n"/>
      <c r="L11" s="11" t="n"/>
      <c r="M11">
        <f>IFERROR(COUNTIF('5-Accidents du Travail'!C5:C104,C11),0)</f>
        <v/>
      </c>
      <c r="N11">
        <f>IFERROR(SUMIF('5-Accidents du Travail'!C5:C104,C11,'5-Accidents du Travail'!M5:M104),0)</f>
        <v/>
      </c>
    </row>
    <row r="12" ht="22" customHeight="1">
      <c r="B12" s="15">
        <f>IF(C12="","MP-"&amp;TEXT(COUNTA($C$5:C12),"000"))</f>
        <v/>
      </c>
      <c r="C12" s="13" t="n"/>
      <c r="D12" s="13" t="n"/>
      <c r="E12" s="13" t="n"/>
      <c r="F12" s="13" t="n"/>
      <c r="G12" s="13" t="n"/>
      <c r="H12" s="29" t="n"/>
      <c r="I12" s="29" t="n"/>
      <c r="J12" s="23" t="n"/>
      <c r="K12" s="13" t="n"/>
      <c r="L12" s="13" t="n"/>
      <c r="M12">
        <f>IFERROR(COUNTIF('5-Accidents du Travail'!C5:C104,C12),0)</f>
        <v/>
      </c>
      <c r="N12">
        <f>IFERROR(SUMIF('5-Accidents du Travail'!C5:C104,C12,'5-Accidents du Travail'!M5:M104),0)</f>
        <v/>
      </c>
    </row>
    <row r="13" ht="22" customHeight="1">
      <c r="B13" s="16">
        <f>IF(C13="","MP-"&amp;TEXT(COUNTA($C$5:C13),"000"))</f>
        <v/>
      </c>
      <c r="C13" s="11" t="n"/>
      <c r="D13" s="11" t="n"/>
      <c r="E13" s="11" t="n"/>
      <c r="F13" s="11" t="n"/>
      <c r="G13" s="11" t="n"/>
      <c r="H13" s="28" t="n"/>
      <c r="I13" s="28" t="n"/>
      <c r="J13" s="22" t="n"/>
      <c r="K13" s="11" t="n"/>
      <c r="L13" s="11" t="n"/>
      <c r="M13">
        <f>IFERROR(COUNTIF('5-Accidents du Travail'!C5:C104,C13),0)</f>
        <v/>
      </c>
      <c r="N13">
        <f>IFERROR(SUMIF('5-Accidents du Travail'!C5:C104,C13,'5-Accidents du Travail'!M5:M104),0)</f>
        <v/>
      </c>
    </row>
    <row r="14" ht="22" customHeight="1">
      <c r="B14" s="15">
        <f>IF(C14="","MP-"&amp;TEXT(COUNTA($C$5:C14),"000"))</f>
        <v/>
      </c>
      <c r="C14" s="13" t="n"/>
      <c r="D14" s="13" t="n"/>
      <c r="E14" s="13" t="n"/>
      <c r="F14" s="13" t="n"/>
      <c r="G14" s="13" t="n"/>
      <c r="H14" s="29" t="n"/>
      <c r="I14" s="29" t="n"/>
      <c r="J14" s="23" t="n"/>
      <c r="K14" s="13" t="n"/>
      <c r="L14" s="13" t="n"/>
      <c r="M14">
        <f>IFERROR(COUNTIF('5-Accidents du Travail'!C5:C104,C14),0)</f>
        <v/>
      </c>
      <c r="N14">
        <f>IFERROR(SUMIF('5-Accidents du Travail'!C5:C104,C14,'5-Accidents du Travail'!M5:M104),0)</f>
        <v/>
      </c>
    </row>
    <row r="15" ht="22" customHeight="1">
      <c r="B15" s="16">
        <f>IF(C15="","MP-"&amp;TEXT(COUNTA($C$5:C15),"000"))</f>
        <v/>
      </c>
      <c r="C15" s="11" t="n"/>
      <c r="D15" s="11" t="n"/>
      <c r="E15" s="11" t="n"/>
      <c r="F15" s="11" t="n"/>
      <c r="G15" s="11" t="n"/>
      <c r="H15" s="28" t="n"/>
      <c r="I15" s="28" t="n"/>
      <c r="J15" s="22" t="n"/>
      <c r="K15" s="11" t="n"/>
      <c r="L15" s="11" t="n"/>
      <c r="M15">
        <f>IFERROR(COUNTIF('5-Accidents du Travail'!C5:C104,C15),0)</f>
        <v/>
      </c>
      <c r="N15">
        <f>IFERROR(SUMIF('5-Accidents du Travail'!C5:C104,C15,'5-Accidents du Travail'!M5:M104),0)</f>
        <v/>
      </c>
    </row>
    <row r="16" ht="22" customHeight="1">
      <c r="B16" s="15">
        <f>IF(C16="","MP-"&amp;TEXT(COUNTA($C$5:C16),"000"))</f>
        <v/>
      </c>
      <c r="C16" s="13" t="n"/>
      <c r="D16" s="13" t="n"/>
      <c r="E16" s="13" t="n"/>
      <c r="F16" s="13" t="n"/>
      <c r="G16" s="13" t="n"/>
      <c r="H16" s="29" t="n"/>
      <c r="I16" s="29" t="n"/>
      <c r="J16" s="23" t="n"/>
      <c r="K16" s="13" t="n"/>
      <c r="L16" s="13" t="n"/>
      <c r="M16">
        <f>IFERROR(COUNTIF('5-Accidents du Travail'!C5:C104,C16),0)</f>
        <v/>
      </c>
      <c r="N16">
        <f>IFERROR(SUMIF('5-Accidents du Travail'!C5:C104,C16,'5-Accidents du Travail'!M5:M104),0)</f>
        <v/>
      </c>
    </row>
    <row r="17" ht="22" customHeight="1">
      <c r="B17" s="16">
        <f>IF(C17="","MP-"&amp;TEXT(COUNTA($C$5:C17),"000"))</f>
        <v/>
      </c>
      <c r="C17" s="11" t="n"/>
      <c r="D17" s="11" t="n"/>
      <c r="E17" s="11" t="n"/>
      <c r="F17" s="11" t="n"/>
      <c r="G17" s="11" t="n"/>
      <c r="H17" s="28" t="n"/>
      <c r="I17" s="28" t="n"/>
      <c r="J17" s="22" t="n"/>
      <c r="K17" s="11" t="n"/>
      <c r="L17" s="11" t="n"/>
      <c r="M17">
        <f>IFERROR(COUNTIF('5-Accidents du Travail'!C5:C104,C17),0)</f>
        <v/>
      </c>
      <c r="N17">
        <f>IFERROR(SUMIF('5-Accidents du Travail'!C5:C104,C17,'5-Accidents du Travail'!M5:M104),0)</f>
        <v/>
      </c>
    </row>
    <row r="18" ht="22" customHeight="1">
      <c r="B18" s="15">
        <f>IF(C18="","MP-"&amp;TEXT(COUNTA($C$5:C18),"000"))</f>
        <v/>
      </c>
      <c r="C18" s="13" t="n"/>
      <c r="D18" s="13" t="n"/>
      <c r="E18" s="13" t="n"/>
      <c r="F18" s="13" t="n"/>
      <c r="G18" s="13" t="n"/>
      <c r="H18" s="29" t="n"/>
      <c r="I18" s="29" t="n"/>
      <c r="J18" s="23" t="n"/>
      <c r="K18" s="13" t="n"/>
      <c r="L18" s="13" t="n"/>
      <c r="M18">
        <f>IFERROR(COUNTIF('5-Accidents du Travail'!C5:C104,C18),0)</f>
        <v/>
      </c>
      <c r="N18">
        <f>IFERROR(SUMIF('5-Accidents du Travail'!C5:C104,C18,'5-Accidents du Travail'!M5:M104),0)</f>
        <v/>
      </c>
    </row>
    <row r="19" ht="22" customHeight="1">
      <c r="B19" s="16">
        <f>IF(C19="","MP-"&amp;TEXT(COUNTA($C$5:C19),"000"))</f>
        <v/>
      </c>
      <c r="C19" s="11" t="n"/>
      <c r="D19" s="11" t="n"/>
      <c r="E19" s="11" t="n"/>
      <c r="F19" s="11" t="n"/>
      <c r="G19" s="11" t="n"/>
      <c r="H19" s="28" t="n"/>
      <c r="I19" s="28" t="n"/>
      <c r="J19" s="22" t="n"/>
      <c r="K19" s="11" t="n"/>
      <c r="L19" s="11" t="n"/>
      <c r="M19">
        <f>IFERROR(COUNTIF('5-Accidents du Travail'!C5:C104,C19),0)</f>
        <v/>
      </c>
      <c r="N19">
        <f>IFERROR(SUMIF('5-Accidents du Travail'!C5:C104,C19,'5-Accidents du Travail'!M5:M104),0)</f>
        <v/>
      </c>
    </row>
    <row r="20" ht="22" customHeight="1">
      <c r="B20" s="15">
        <f>IF(C20="","MP-"&amp;TEXT(COUNTA($C$5:C20),"000"))</f>
        <v/>
      </c>
      <c r="C20" s="13" t="n"/>
      <c r="D20" s="13" t="n"/>
      <c r="E20" s="13" t="n"/>
      <c r="F20" s="13" t="n"/>
      <c r="G20" s="13" t="n"/>
      <c r="H20" s="29" t="n"/>
      <c r="I20" s="29" t="n"/>
      <c r="J20" s="23" t="n"/>
      <c r="K20" s="13" t="n"/>
      <c r="L20" s="13" t="n"/>
      <c r="M20">
        <f>IFERROR(COUNTIF('5-Accidents du Travail'!C5:C104,C20),0)</f>
        <v/>
      </c>
      <c r="N20">
        <f>IFERROR(SUMIF('5-Accidents du Travail'!C5:C104,C20,'5-Accidents du Travail'!M5:M104),0)</f>
        <v/>
      </c>
    </row>
    <row r="21" ht="22" customHeight="1">
      <c r="B21" s="16">
        <f>IF(C21="","MP-"&amp;TEXT(COUNTA($C$5:C21),"000"))</f>
        <v/>
      </c>
      <c r="C21" s="11" t="n"/>
      <c r="D21" s="11" t="n"/>
      <c r="E21" s="11" t="n"/>
      <c r="F21" s="11" t="n"/>
      <c r="G21" s="11" t="n"/>
      <c r="H21" s="28" t="n"/>
      <c r="I21" s="28" t="n"/>
      <c r="J21" s="22" t="n"/>
      <c r="K21" s="11" t="n"/>
      <c r="L21" s="11" t="n"/>
      <c r="M21">
        <f>IFERROR(COUNTIF('5-Accidents du Travail'!C5:C104,C21),0)</f>
        <v/>
      </c>
      <c r="N21">
        <f>IFERROR(SUMIF('5-Accidents du Travail'!C5:C104,C21,'5-Accidents du Travail'!M5:M104),0)</f>
        <v/>
      </c>
    </row>
    <row r="22" ht="22" customHeight="1">
      <c r="B22" s="15">
        <f>IF(C22="","MP-"&amp;TEXT(COUNTA($C$5:C22),"000"))</f>
        <v/>
      </c>
      <c r="C22" s="13" t="n"/>
      <c r="D22" s="13" t="n"/>
      <c r="E22" s="13" t="n"/>
      <c r="F22" s="13" t="n"/>
      <c r="G22" s="13" t="n"/>
      <c r="H22" s="29" t="n"/>
      <c r="I22" s="29" t="n"/>
      <c r="J22" s="23" t="n"/>
      <c r="K22" s="13" t="n"/>
      <c r="L22" s="13" t="n"/>
      <c r="M22">
        <f>IFERROR(COUNTIF('5-Accidents du Travail'!C5:C104,C22),0)</f>
        <v/>
      </c>
      <c r="N22">
        <f>IFERROR(SUMIF('5-Accidents du Travail'!C5:C104,C22,'5-Accidents du Travail'!M5:M104),0)</f>
        <v/>
      </c>
    </row>
    <row r="23" ht="22" customHeight="1">
      <c r="B23" s="16">
        <f>IF(C23="","MP-"&amp;TEXT(COUNTA($C$5:C23),"000"))</f>
        <v/>
      </c>
      <c r="C23" s="11" t="n"/>
      <c r="D23" s="11" t="n"/>
      <c r="E23" s="11" t="n"/>
      <c r="F23" s="11" t="n"/>
      <c r="G23" s="11" t="n"/>
      <c r="H23" s="28" t="n"/>
      <c r="I23" s="28" t="n"/>
      <c r="J23" s="22" t="n"/>
      <c r="K23" s="11" t="n"/>
      <c r="L23" s="11" t="n"/>
      <c r="M23">
        <f>IFERROR(COUNTIF('5-Accidents du Travail'!C5:C104,C23),0)</f>
        <v/>
      </c>
      <c r="N23">
        <f>IFERROR(SUMIF('5-Accidents du Travail'!C5:C104,C23,'5-Accidents du Travail'!M5:M104),0)</f>
        <v/>
      </c>
    </row>
    <row r="24" ht="22" customHeight="1">
      <c r="B24" s="15">
        <f>IF(C24="","MP-"&amp;TEXT(COUNTA($C$5:C24),"000"))</f>
        <v/>
      </c>
      <c r="C24" s="13" t="n"/>
      <c r="D24" s="13" t="n"/>
      <c r="E24" s="13" t="n"/>
      <c r="F24" s="13" t="n"/>
      <c r="G24" s="13" t="n"/>
      <c r="H24" s="29" t="n"/>
      <c r="I24" s="29" t="n"/>
      <c r="J24" s="23" t="n"/>
      <c r="K24" s="13" t="n"/>
      <c r="L24" s="13" t="n"/>
      <c r="M24">
        <f>IFERROR(COUNTIF('5-Accidents du Travail'!C5:C104,C24),0)</f>
        <v/>
      </c>
      <c r="N24">
        <f>IFERROR(SUMIF('5-Accidents du Travail'!C5:C104,C24,'5-Accidents du Travail'!M5:M104),0)</f>
        <v/>
      </c>
    </row>
    <row r="25" ht="22" customHeight="1">
      <c r="B25" s="16">
        <f>IF(C25="","MP-"&amp;TEXT(COUNTA($C$5:C25),"000"))</f>
        <v/>
      </c>
      <c r="C25" s="11" t="n"/>
      <c r="D25" s="11" t="n"/>
      <c r="E25" s="11" t="n"/>
      <c r="F25" s="11" t="n"/>
      <c r="G25" s="11" t="n"/>
      <c r="H25" s="28" t="n"/>
      <c r="I25" s="28" t="n"/>
      <c r="J25" s="22" t="n"/>
      <c r="K25" s="11" t="n"/>
      <c r="L25" s="11" t="n"/>
      <c r="M25">
        <f>IFERROR(COUNTIF('5-Accidents du Travail'!C5:C104,C25),0)</f>
        <v/>
      </c>
      <c r="N25">
        <f>IFERROR(SUMIF('5-Accidents du Travail'!C5:C104,C25,'5-Accidents du Travail'!M5:M104),0)</f>
        <v/>
      </c>
    </row>
    <row r="26" ht="22" customHeight="1">
      <c r="B26" s="15">
        <f>IF(C26="","MP-"&amp;TEXT(COUNTA($C$5:C26),"000"))</f>
        <v/>
      </c>
      <c r="C26" s="13" t="n"/>
      <c r="D26" s="13" t="n"/>
      <c r="E26" s="13" t="n"/>
      <c r="F26" s="13" t="n"/>
      <c r="G26" s="13" t="n"/>
      <c r="H26" s="29" t="n"/>
      <c r="I26" s="29" t="n"/>
      <c r="J26" s="23" t="n"/>
      <c r="K26" s="13" t="n"/>
      <c r="L26" s="13" t="n"/>
      <c r="M26">
        <f>IFERROR(COUNTIF('5-Accidents du Travail'!C5:C104,C26),0)</f>
        <v/>
      </c>
      <c r="N26">
        <f>IFERROR(SUMIF('5-Accidents du Travail'!C5:C104,C26,'5-Accidents du Travail'!M5:M104),0)</f>
        <v/>
      </c>
    </row>
    <row r="27" ht="22" customHeight="1">
      <c r="B27" s="16">
        <f>IF(C27="","MP-"&amp;TEXT(COUNTA($C$5:C27),"000"))</f>
        <v/>
      </c>
      <c r="C27" s="11" t="n"/>
      <c r="D27" s="11" t="n"/>
      <c r="E27" s="11" t="n"/>
      <c r="F27" s="11" t="n"/>
      <c r="G27" s="11" t="n"/>
      <c r="H27" s="28" t="n"/>
      <c r="I27" s="28" t="n"/>
      <c r="J27" s="22" t="n"/>
      <c r="K27" s="11" t="n"/>
      <c r="L27" s="11" t="n"/>
      <c r="M27">
        <f>IFERROR(COUNTIF('5-Accidents du Travail'!C5:C104,C27),0)</f>
        <v/>
      </c>
      <c r="N27">
        <f>IFERROR(SUMIF('5-Accidents du Travail'!C5:C104,C27,'5-Accidents du Travail'!M5:M104),0)</f>
        <v/>
      </c>
    </row>
    <row r="28" ht="22" customHeight="1">
      <c r="B28" s="15">
        <f>IF(C28="","MP-"&amp;TEXT(COUNTA($C$5:C28),"000"))</f>
        <v/>
      </c>
      <c r="C28" s="13" t="n"/>
      <c r="D28" s="13" t="n"/>
      <c r="E28" s="13" t="n"/>
      <c r="F28" s="13" t="n"/>
      <c r="G28" s="13" t="n"/>
      <c r="H28" s="29" t="n"/>
      <c r="I28" s="29" t="n"/>
      <c r="J28" s="23" t="n"/>
      <c r="K28" s="13" t="n"/>
      <c r="L28" s="13" t="n"/>
      <c r="M28">
        <f>IFERROR(COUNTIF('5-Accidents du Travail'!C5:C104,C28),0)</f>
        <v/>
      </c>
      <c r="N28">
        <f>IFERROR(SUMIF('5-Accidents du Travail'!C5:C104,C28,'5-Accidents du Travail'!M5:M104),0)</f>
        <v/>
      </c>
    </row>
    <row r="29" ht="22" customHeight="1">
      <c r="B29" s="16">
        <f>IF(C29="","MP-"&amp;TEXT(COUNTA($C$5:C29),"000"))</f>
        <v/>
      </c>
      <c r="C29" s="11" t="n"/>
      <c r="D29" s="11" t="n"/>
      <c r="E29" s="11" t="n"/>
      <c r="F29" s="11" t="n"/>
      <c r="G29" s="11" t="n"/>
      <c r="H29" s="28" t="n"/>
      <c r="I29" s="28" t="n"/>
      <c r="J29" s="22" t="n"/>
      <c r="K29" s="11" t="n"/>
      <c r="L29" s="11" t="n"/>
      <c r="M29">
        <f>IFERROR(COUNTIF('5-Accidents du Travail'!C5:C104,C29),0)</f>
        <v/>
      </c>
      <c r="N29">
        <f>IFERROR(SUMIF('5-Accidents du Travail'!C5:C104,C29,'5-Accidents du Travail'!M5:M104),0)</f>
        <v/>
      </c>
    </row>
    <row r="30" ht="22" customHeight="1">
      <c r="B30" s="15">
        <f>IF(C30="","MP-"&amp;TEXT(COUNTA($C$5:C30),"000"))</f>
        <v/>
      </c>
      <c r="C30" s="13" t="n"/>
      <c r="D30" s="13" t="n"/>
      <c r="E30" s="13" t="n"/>
      <c r="F30" s="13" t="n"/>
      <c r="G30" s="13" t="n"/>
      <c r="H30" s="29" t="n"/>
      <c r="I30" s="29" t="n"/>
      <c r="J30" s="23" t="n"/>
      <c r="K30" s="13" t="n"/>
      <c r="L30" s="13" t="n"/>
      <c r="M30">
        <f>IFERROR(COUNTIF('5-Accidents du Travail'!C5:C104,C30),0)</f>
        <v/>
      </c>
      <c r="N30">
        <f>IFERROR(SUMIF('5-Accidents du Travail'!C5:C104,C30,'5-Accidents du Travail'!M5:M104),0)</f>
        <v/>
      </c>
    </row>
    <row r="31" ht="22" customHeight="1">
      <c r="B31" s="16">
        <f>IF(C31="","MP-"&amp;TEXT(COUNTA($C$5:C31),"000"))</f>
        <v/>
      </c>
      <c r="C31" s="11" t="n"/>
      <c r="D31" s="11" t="n"/>
      <c r="E31" s="11" t="n"/>
      <c r="F31" s="11" t="n"/>
      <c r="G31" s="11" t="n"/>
      <c r="H31" s="28" t="n"/>
      <c r="I31" s="28" t="n"/>
      <c r="J31" s="22" t="n"/>
      <c r="K31" s="11" t="n"/>
      <c r="L31" s="11" t="n"/>
      <c r="M31">
        <f>IFERROR(COUNTIF('5-Accidents du Travail'!C5:C104,C31),0)</f>
        <v/>
      </c>
      <c r="N31">
        <f>IFERROR(SUMIF('5-Accidents du Travail'!C5:C104,C31,'5-Accidents du Travail'!M5:M104),0)</f>
        <v/>
      </c>
    </row>
    <row r="32" ht="22" customHeight="1">
      <c r="B32" s="15">
        <f>IF(C32="","MP-"&amp;TEXT(COUNTA($C$5:C32),"000"))</f>
        <v/>
      </c>
      <c r="C32" s="13" t="n"/>
      <c r="D32" s="13" t="n"/>
      <c r="E32" s="13" t="n"/>
      <c r="F32" s="13" t="n"/>
      <c r="G32" s="13" t="n"/>
      <c r="H32" s="29" t="n"/>
      <c r="I32" s="29" t="n"/>
      <c r="J32" s="23" t="n"/>
      <c r="K32" s="13" t="n"/>
      <c r="L32" s="13" t="n"/>
      <c r="M32">
        <f>IFERROR(COUNTIF('5-Accidents du Travail'!C5:C104,C32),0)</f>
        <v/>
      </c>
      <c r="N32">
        <f>IFERROR(SUMIF('5-Accidents du Travail'!C5:C104,C32,'5-Accidents du Travail'!M5:M104),0)</f>
        <v/>
      </c>
    </row>
    <row r="33" ht="22" customHeight="1">
      <c r="B33" s="16">
        <f>IF(C33="","MP-"&amp;TEXT(COUNTA($C$5:C33),"000"))</f>
        <v/>
      </c>
      <c r="C33" s="11" t="n"/>
      <c r="D33" s="11" t="n"/>
      <c r="E33" s="11" t="n"/>
      <c r="F33" s="11" t="n"/>
      <c r="G33" s="11" t="n"/>
      <c r="H33" s="28" t="n"/>
      <c r="I33" s="28" t="n"/>
      <c r="J33" s="22" t="n"/>
      <c r="K33" s="11" t="n"/>
      <c r="L33" s="11" t="n"/>
      <c r="M33">
        <f>IFERROR(COUNTIF('5-Accidents du Travail'!C5:C104,C33),0)</f>
        <v/>
      </c>
      <c r="N33">
        <f>IFERROR(SUMIF('5-Accidents du Travail'!C5:C104,C33,'5-Accidents du Travail'!M5:M104),0)</f>
        <v/>
      </c>
    </row>
    <row r="34" ht="22" customHeight="1">
      <c r="B34" s="15">
        <f>IF(C34="","MP-"&amp;TEXT(COUNTA($C$5:C34),"000"))</f>
        <v/>
      </c>
      <c r="C34" s="13" t="n"/>
      <c r="D34" s="13" t="n"/>
      <c r="E34" s="13" t="n"/>
      <c r="F34" s="13" t="n"/>
      <c r="G34" s="13" t="n"/>
      <c r="H34" s="29" t="n"/>
      <c r="I34" s="29" t="n"/>
      <c r="J34" s="23" t="n"/>
      <c r="K34" s="13" t="n"/>
      <c r="L34" s="13" t="n"/>
      <c r="M34">
        <f>IFERROR(COUNTIF('5-Accidents du Travail'!C5:C104,C34),0)</f>
        <v/>
      </c>
      <c r="N34">
        <f>IFERROR(SUMIF('5-Accidents du Travail'!C5:C104,C34,'5-Accidents du Travail'!M5:M104),0)</f>
        <v/>
      </c>
    </row>
    <row r="35" ht="22" customHeight="1">
      <c r="B35" s="16">
        <f>IF(C35="","MP-"&amp;TEXT(COUNTA($C$5:C35),"000"))</f>
        <v/>
      </c>
      <c r="C35" s="11" t="n"/>
      <c r="D35" s="11" t="n"/>
      <c r="E35" s="11" t="n"/>
      <c r="F35" s="11" t="n"/>
      <c r="G35" s="11" t="n"/>
      <c r="H35" s="28" t="n"/>
      <c r="I35" s="28" t="n"/>
      <c r="J35" s="22" t="n"/>
      <c r="K35" s="11" t="n"/>
      <c r="L35" s="11" t="n"/>
      <c r="M35">
        <f>IFERROR(COUNTIF('5-Accidents du Travail'!C5:C104,C35),0)</f>
        <v/>
      </c>
      <c r="N35">
        <f>IFERROR(SUMIF('5-Accidents du Travail'!C5:C104,C35,'5-Accidents du Travail'!M5:M104),0)</f>
        <v/>
      </c>
    </row>
    <row r="36" ht="22" customHeight="1">
      <c r="B36" s="15">
        <f>IF(C36="","MP-"&amp;TEXT(COUNTA($C$5:C36),"000"))</f>
        <v/>
      </c>
      <c r="C36" s="13" t="n"/>
      <c r="D36" s="13" t="n"/>
      <c r="E36" s="13" t="n"/>
      <c r="F36" s="13" t="n"/>
      <c r="G36" s="13" t="n"/>
      <c r="H36" s="29" t="n"/>
      <c r="I36" s="29" t="n"/>
      <c r="J36" s="23" t="n"/>
      <c r="K36" s="13" t="n"/>
      <c r="L36" s="13" t="n"/>
      <c r="M36">
        <f>IFERROR(COUNTIF('5-Accidents du Travail'!C5:C104,C36),0)</f>
        <v/>
      </c>
      <c r="N36">
        <f>IFERROR(SUMIF('5-Accidents du Travail'!C5:C104,C36,'5-Accidents du Travail'!M5:M104),0)</f>
        <v/>
      </c>
    </row>
    <row r="37" ht="22" customHeight="1">
      <c r="B37" s="16">
        <f>IF(C37="","MP-"&amp;TEXT(COUNTA($C$5:C37),"000"))</f>
        <v/>
      </c>
      <c r="C37" s="11" t="n"/>
      <c r="D37" s="11" t="n"/>
      <c r="E37" s="11" t="n"/>
      <c r="F37" s="11" t="n"/>
      <c r="G37" s="11" t="n"/>
      <c r="H37" s="28" t="n"/>
      <c r="I37" s="28" t="n"/>
      <c r="J37" s="22" t="n"/>
      <c r="K37" s="11" t="n"/>
      <c r="L37" s="11" t="n"/>
      <c r="M37">
        <f>IFERROR(COUNTIF('5-Accidents du Travail'!C5:C104,C37),0)</f>
        <v/>
      </c>
      <c r="N37">
        <f>IFERROR(SUMIF('5-Accidents du Travail'!C5:C104,C37,'5-Accidents du Travail'!M5:M104),0)</f>
        <v/>
      </c>
    </row>
    <row r="38" ht="22" customHeight="1">
      <c r="B38" s="15">
        <f>IF(C38="","MP-"&amp;TEXT(COUNTA($C$5:C38),"000"))</f>
        <v/>
      </c>
      <c r="C38" s="13" t="n"/>
      <c r="D38" s="13" t="n"/>
      <c r="E38" s="13" t="n"/>
      <c r="F38" s="13" t="n"/>
      <c r="G38" s="13" t="n"/>
      <c r="H38" s="29" t="n"/>
      <c r="I38" s="29" t="n"/>
      <c r="J38" s="23" t="n"/>
      <c r="K38" s="13" t="n"/>
      <c r="L38" s="13" t="n"/>
      <c r="M38">
        <f>IFERROR(COUNTIF('5-Accidents du Travail'!C5:C104,C38),0)</f>
        <v/>
      </c>
      <c r="N38">
        <f>IFERROR(SUMIF('5-Accidents du Travail'!C5:C104,C38,'5-Accidents du Travail'!M5:M104),0)</f>
        <v/>
      </c>
    </row>
    <row r="39" ht="22" customHeight="1">
      <c r="B39" s="16">
        <f>IF(C39="","MP-"&amp;TEXT(COUNTA($C$5:C39),"000"))</f>
        <v/>
      </c>
      <c r="C39" s="11" t="n"/>
      <c r="D39" s="11" t="n"/>
      <c r="E39" s="11" t="n"/>
      <c r="F39" s="11" t="n"/>
      <c r="G39" s="11" t="n"/>
      <c r="H39" s="28" t="n"/>
      <c r="I39" s="28" t="n"/>
      <c r="J39" s="22" t="n"/>
      <c r="K39" s="11" t="n"/>
      <c r="L39" s="11" t="n"/>
      <c r="M39">
        <f>IFERROR(COUNTIF('5-Accidents du Travail'!C5:C104,C39),0)</f>
        <v/>
      </c>
      <c r="N39">
        <f>IFERROR(SUMIF('5-Accidents du Travail'!C5:C104,C39,'5-Accidents du Travail'!M5:M104),0)</f>
        <v/>
      </c>
    </row>
    <row r="40" ht="22" customHeight="1">
      <c r="B40" s="15">
        <f>IF(C40="","MP-"&amp;TEXT(COUNTA($C$5:C40),"000"))</f>
        <v/>
      </c>
      <c r="C40" s="13" t="n"/>
      <c r="D40" s="13" t="n"/>
      <c r="E40" s="13" t="n"/>
      <c r="F40" s="13" t="n"/>
      <c r="G40" s="13" t="n"/>
      <c r="H40" s="29" t="n"/>
      <c r="I40" s="29" t="n"/>
      <c r="J40" s="23" t="n"/>
      <c r="K40" s="13" t="n"/>
      <c r="L40" s="13" t="n"/>
      <c r="M40">
        <f>IFERROR(COUNTIF('5-Accidents du Travail'!C5:C104,C40),0)</f>
        <v/>
      </c>
      <c r="N40">
        <f>IFERROR(SUMIF('5-Accidents du Travail'!C5:C104,C40,'5-Accidents du Travail'!M5:M104),0)</f>
        <v/>
      </c>
    </row>
    <row r="41" ht="22" customHeight="1">
      <c r="B41" s="16">
        <f>IF(C41="","MP-"&amp;TEXT(COUNTA($C$5:C41),"000"))</f>
        <v/>
      </c>
      <c r="C41" s="11" t="n"/>
      <c r="D41" s="11" t="n"/>
      <c r="E41" s="11" t="n"/>
      <c r="F41" s="11" t="n"/>
      <c r="G41" s="11" t="n"/>
      <c r="H41" s="28" t="n"/>
      <c r="I41" s="28" t="n"/>
      <c r="J41" s="22" t="n"/>
      <c r="K41" s="11" t="n"/>
      <c r="L41" s="11" t="n"/>
      <c r="M41">
        <f>IFERROR(COUNTIF('5-Accidents du Travail'!C5:C104,C41),0)</f>
        <v/>
      </c>
      <c r="N41">
        <f>IFERROR(SUMIF('5-Accidents du Travail'!C5:C104,C41,'5-Accidents du Travail'!M5:M104),0)</f>
        <v/>
      </c>
    </row>
    <row r="42" ht="22" customHeight="1">
      <c r="B42" s="15">
        <f>IF(C42="","MP-"&amp;TEXT(COUNTA($C$5:C42),"000"))</f>
        <v/>
      </c>
      <c r="C42" s="13" t="n"/>
      <c r="D42" s="13" t="n"/>
      <c r="E42" s="13" t="n"/>
      <c r="F42" s="13" t="n"/>
      <c r="G42" s="13" t="n"/>
      <c r="H42" s="29" t="n"/>
      <c r="I42" s="29" t="n"/>
      <c r="J42" s="23" t="n"/>
      <c r="K42" s="13" t="n"/>
      <c r="L42" s="13" t="n"/>
      <c r="M42">
        <f>IFERROR(COUNTIF('5-Accidents du Travail'!C5:C104,C42),0)</f>
        <v/>
      </c>
      <c r="N42">
        <f>IFERROR(SUMIF('5-Accidents du Travail'!C5:C104,C42,'5-Accidents du Travail'!M5:M104),0)</f>
        <v/>
      </c>
    </row>
    <row r="43" ht="22" customHeight="1">
      <c r="B43" s="16">
        <f>IF(C43="","MP-"&amp;TEXT(COUNTA($C$5:C43),"000"))</f>
        <v/>
      </c>
      <c r="C43" s="11" t="n"/>
      <c r="D43" s="11" t="n"/>
      <c r="E43" s="11" t="n"/>
      <c r="F43" s="11" t="n"/>
      <c r="G43" s="11" t="n"/>
      <c r="H43" s="28" t="n"/>
      <c r="I43" s="28" t="n"/>
      <c r="J43" s="22" t="n"/>
      <c r="K43" s="11" t="n"/>
      <c r="L43" s="11" t="n"/>
      <c r="M43">
        <f>IFERROR(COUNTIF('5-Accidents du Travail'!C5:C104,C43),0)</f>
        <v/>
      </c>
      <c r="N43">
        <f>IFERROR(SUMIF('5-Accidents du Travail'!C5:C104,C43,'5-Accidents du Travail'!M5:M104),0)</f>
        <v/>
      </c>
    </row>
    <row r="44" ht="22" customHeight="1">
      <c r="B44" s="15">
        <f>IF(C44="","MP-"&amp;TEXT(COUNTA($C$5:C44),"000"))</f>
        <v/>
      </c>
      <c r="C44" s="13" t="n"/>
      <c r="D44" s="13" t="n"/>
      <c r="E44" s="13" t="n"/>
      <c r="F44" s="13" t="n"/>
      <c r="G44" s="13" t="n"/>
      <c r="H44" s="29" t="n"/>
      <c r="I44" s="29" t="n"/>
      <c r="J44" s="23" t="n"/>
      <c r="K44" s="13" t="n"/>
      <c r="L44" s="13" t="n"/>
      <c r="M44">
        <f>IFERROR(COUNTIF('5-Accidents du Travail'!C5:C104,C44),0)</f>
        <v/>
      </c>
      <c r="N44">
        <f>IFERROR(SUMIF('5-Accidents du Travail'!C5:C104,C44,'5-Accidents du Travail'!M5:M104),0)</f>
        <v/>
      </c>
    </row>
    <row r="45" ht="22" customHeight="1">
      <c r="B45" s="16">
        <f>IF(C45="","MP-"&amp;TEXT(COUNTA($C$5:C45),"000"))</f>
        <v/>
      </c>
      <c r="C45" s="11" t="n"/>
      <c r="D45" s="11" t="n"/>
      <c r="E45" s="11" t="n"/>
      <c r="F45" s="11" t="n"/>
      <c r="G45" s="11" t="n"/>
      <c r="H45" s="28" t="n"/>
      <c r="I45" s="28" t="n"/>
      <c r="J45" s="22" t="n"/>
      <c r="K45" s="11" t="n"/>
      <c r="L45" s="11" t="n"/>
      <c r="M45">
        <f>IFERROR(COUNTIF('5-Accidents du Travail'!C5:C104,C45),0)</f>
        <v/>
      </c>
      <c r="N45">
        <f>IFERROR(SUMIF('5-Accidents du Travail'!C5:C104,C45,'5-Accidents du Travail'!M5:M104),0)</f>
        <v/>
      </c>
    </row>
    <row r="46" ht="22" customHeight="1">
      <c r="B46" s="15">
        <f>IF(C46="","MP-"&amp;TEXT(COUNTA($C$5:C46),"000"))</f>
        <v/>
      </c>
      <c r="C46" s="13" t="n"/>
      <c r="D46" s="13" t="n"/>
      <c r="E46" s="13" t="n"/>
      <c r="F46" s="13" t="n"/>
      <c r="G46" s="13" t="n"/>
      <c r="H46" s="29" t="n"/>
      <c r="I46" s="29" t="n"/>
      <c r="J46" s="23" t="n"/>
      <c r="K46" s="13" t="n"/>
      <c r="L46" s="13" t="n"/>
      <c r="M46">
        <f>IFERROR(COUNTIF('5-Accidents du Travail'!C5:C104,C46),0)</f>
        <v/>
      </c>
      <c r="N46">
        <f>IFERROR(SUMIF('5-Accidents du Travail'!C5:C104,C46,'5-Accidents du Travail'!M5:M104),0)</f>
        <v/>
      </c>
    </row>
    <row r="47" ht="22" customHeight="1">
      <c r="B47" s="16">
        <f>IF(C47="","MP-"&amp;TEXT(COUNTA($C$5:C47),"000"))</f>
        <v/>
      </c>
      <c r="C47" s="11" t="n"/>
      <c r="D47" s="11" t="n"/>
      <c r="E47" s="11" t="n"/>
      <c r="F47" s="11" t="n"/>
      <c r="G47" s="11" t="n"/>
      <c r="H47" s="28" t="n"/>
      <c r="I47" s="28" t="n"/>
      <c r="J47" s="22" t="n"/>
      <c r="K47" s="11" t="n"/>
      <c r="L47" s="11" t="n"/>
      <c r="M47">
        <f>IFERROR(COUNTIF('5-Accidents du Travail'!C5:C104,C47),0)</f>
        <v/>
      </c>
      <c r="N47">
        <f>IFERROR(SUMIF('5-Accidents du Travail'!C5:C104,C47,'5-Accidents du Travail'!M5:M104),0)</f>
        <v/>
      </c>
    </row>
    <row r="48" ht="22" customHeight="1">
      <c r="B48" s="15">
        <f>IF(C48="","MP-"&amp;TEXT(COUNTA($C$5:C48),"000"))</f>
        <v/>
      </c>
      <c r="C48" s="13" t="n"/>
      <c r="D48" s="13" t="n"/>
      <c r="E48" s="13" t="n"/>
      <c r="F48" s="13" t="n"/>
      <c r="G48" s="13" t="n"/>
      <c r="H48" s="29" t="n"/>
      <c r="I48" s="29" t="n"/>
      <c r="J48" s="23" t="n"/>
      <c r="K48" s="13" t="n"/>
      <c r="L48" s="13" t="n"/>
      <c r="M48">
        <f>IFERROR(COUNTIF('5-Accidents du Travail'!C5:C104,C48),0)</f>
        <v/>
      </c>
      <c r="N48">
        <f>IFERROR(SUMIF('5-Accidents du Travail'!C5:C104,C48,'5-Accidents du Travail'!M5:M104),0)</f>
        <v/>
      </c>
    </row>
    <row r="49" ht="22" customHeight="1">
      <c r="B49" s="16">
        <f>IF(C49="","MP-"&amp;TEXT(COUNTA($C$5:C49),"000"))</f>
        <v/>
      </c>
      <c r="C49" s="11" t="n"/>
      <c r="D49" s="11" t="n"/>
      <c r="E49" s="11" t="n"/>
      <c r="F49" s="11" t="n"/>
      <c r="G49" s="11" t="n"/>
      <c r="H49" s="28" t="n"/>
      <c r="I49" s="28" t="n"/>
      <c r="J49" s="22" t="n"/>
      <c r="K49" s="11" t="n"/>
      <c r="L49" s="11" t="n"/>
      <c r="M49">
        <f>IFERROR(COUNTIF('5-Accidents du Travail'!C5:C104,C49),0)</f>
        <v/>
      </c>
      <c r="N49">
        <f>IFERROR(SUMIF('5-Accidents du Travail'!C5:C104,C49,'5-Accidents du Travail'!M5:M104),0)</f>
        <v/>
      </c>
    </row>
    <row r="50" ht="22" customHeight="1">
      <c r="B50" s="15">
        <f>IF(C50="","MP-"&amp;TEXT(COUNTA($C$5:C50),"000"))</f>
        <v/>
      </c>
      <c r="C50" s="13" t="n"/>
      <c r="D50" s="13" t="n"/>
      <c r="E50" s="13" t="n"/>
      <c r="F50" s="13" t="n"/>
      <c r="G50" s="13" t="n"/>
      <c r="H50" s="29" t="n"/>
      <c r="I50" s="29" t="n"/>
      <c r="J50" s="23" t="n"/>
      <c r="K50" s="13" t="n"/>
      <c r="L50" s="13" t="n"/>
      <c r="M50">
        <f>IFERROR(COUNTIF('5-Accidents du Travail'!C5:C104,C50),0)</f>
        <v/>
      </c>
      <c r="N50">
        <f>IFERROR(SUMIF('5-Accidents du Travail'!C5:C104,C50,'5-Accidents du Travail'!M5:M104),0)</f>
        <v/>
      </c>
    </row>
    <row r="51" ht="22" customHeight="1">
      <c r="B51" s="16">
        <f>IF(C51="","MP-"&amp;TEXT(COUNTA($C$5:C51),"000"))</f>
        <v/>
      </c>
      <c r="C51" s="11" t="n"/>
      <c r="D51" s="11" t="n"/>
      <c r="E51" s="11" t="n"/>
      <c r="F51" s="11" t="n"/>
      <c r="G51" s="11" t="n"/>
      <c r="H51" s="28" t="n"/>
      <c r="I51" s="28" t="n"/>
      <c r="J51" s="22" t="n"/>
      <c r="K51" s="11" t="n"/>
      <c r="L51" s="11" t="n"/>
      <c r="M51">
        <f>IFERROR(COUNTIF('5-Accidents du Travail'!C5:C104,C51),0)</f>
        <v/>
      </c>
      <c r="N51">
        <f>IFERROR(SUMIF('5-Accidents du Travail'!C5:C104,C51,'5-Accidents du Travail'!M5:M104),0)</f>
        <v/>
      </c>
    </row>
    <row r="52" ht="22" customHeight="1">
      <c r="B52" s="15">
        <f>IF(C52="","MP-"&amp;TEXT(COUNTA($C$5:C52),"000"))</f>
        <v/>
      </c>
      <c r="C52" s="13" t="n"/>
      <c r="D52" s="13" t="n"/>
      <c r="E52" s="13" t="n"/>
      <c r="F52" s="13" t="n"/>
      <c r="G52" s="13" t="n"/>
      <c r="H52" s="29" t="n"/>
      <c r="I52" s="29" t="n"/>
      <c r="J52" s="23" t="n"/>
      <c r="K52" s="13" t="n"/>
      <c r="L52" s="13" t="n"/>
      <c r="M52">
        <f>IFERROR(COUNTIF('5-Accidents du Travail'!C5:C104,C52),0)</f>
        <v/>
      </c>
      <c r="N52">
        <f>IFERROR(SUMIF('5-Accidents du Travail'!C5:C104,C52,'5-Accidents du Travail'!M5:M104),0)</f>
        <v/>
      </c>
    </row>
    <row r="53" ht="22" customHeight="1">
      <c r="B53" s="16">
        <f>IF(C53="","MP-"&amp;TEXT(COUNTA($C$5:C53),"000"))</f>
        <v/>
      </c>
      <c r="C53" s="11" t="n"/>
      <c r="D53" s="11" t="n"/>
      <c r="E53" s="11" t="n"/>
      <c r="F53" s="11" t="n"/>
      <c r="G53" s="11" t="n"/>
      <c r="H53" s="28" t="n"/>
      <c r="I53" s="28" t="n"/>
      <c r="J53" s="22" t="n"/>
      <c r="K53" s="11" t="n"/>
      <c r="L53" s="11" t="n"/>
      <c r="M53">
        <f>IFERROR(COUNTIF('5-Accidents du Travail'!C5:C104,C53),0)</f>
        <v/>
      </c>
      <c r="N53">
        <f>IFERROR(SUMIF('5-Accidents du Travail'!C5:C104,C53,'5-Accidents du Travail'!M5:M104),0)</f>
        <v/>
      </c>
    </row>
    <row r="54" ht="22" customHeight="1">
      <c r="B54" s="15">
        <f>IF(C54="","MP-"&amp;TEXT(COUNTA($C$5:C54),"000"))</f>
        <v/>
      </c>
      <c r="C54" s="13" t="n"/>
      <c r="D54" s="13" t="n"/>
      <c r="E54" s="13" t="n"/>
      <c r="F54" s="13" t="n"/>
      <c r="G54" s="13" t="n"/>
      <c r="H54" s="29" t="n"/>
      <c r="I54" s="29" t="n"/>
      <c r="J54" s="23" t="n"/>
      <c r="K54" s="13" t="n"/>
      <c r="L54" s="13" t="n"/>
      <c r="M54">
        <f>IFERROR(COUNTIF('5-Accidents du Travail'!C5:C104,C54),0)</f>
        <v/>
      </c>
      <c r="N54">
        <f>IFERROR(SUMIF('5-Accidents du Travail'!C5:C104,C54,'5-Accidents du Travail'!M5:M104),0)</f>
        <v/>
      </c>
    </row>
    <row r="55" ht="22" customHeight="1">
      <c r="B55" s="16">
        <f>IF(C55="","MP-"&amp;TEXT(COUNTA($C$5:C55),"000"))</f>
        <v/>
      </c>
      <c r="C55" s="11" t="n"/>
      <c r="D55" s="11" t="n"/>
      <c r="E55" s="11" t="n"/>
      <c r="F55" s="11" t="n"/>
      <c r="G55" s="11" t="n"/>
      <c r="H55" s="28" t="n"/>
      <c r="I55" s="28" t="n"/>
      <c r="J55" s="22" t="n"/>
      <c r="K55" s="11" t="n"/>
      <c r="L55" s="11" t="n"/>
      <c r="M55">
        <f>IFERROR(COUNTIF('5-Accidents du Travail'!C5:C104,C55),0)</f>
        <v/>
      </c>
      <c r="N55">
        <f>IFERROR(SUMIF('5-Accidents du Travail'!C5:C104,C55,'5-Accidents du Travail'!M5:M104),0)</f>
        <v/>
      </c>
    </row>
    <row r="56" ht="22" customHeight="1">
      <c r="B56" s="15">
        <f>IF(C56="","MP-"&amp;TEXT(COUNTA($C$5:C56),"000"))</f>
        <v/>
      </c>
      <c r="C56" s="13" t="n"/>
      <c r="D56" s="13" t="n"/>
      <c r="E56" s="13" t="n"/>
      <c r="F56" s="13" t="n"/>
      <c r="G56" s="13" t="n"/>
      <c r="H56" s="29" t="n"/>
      <c r="I56" s="29" t="n"/>
      <c r="J56" s="23" t="n"/>
      <c r="K56" s="13" t="n"/>
      <c r="L56" s="13" t="n"/>
      <c r="M56">
        <f>IFERROR(COUNTIF('5-Accidents du Travail'!C5:C104,C56),0)</f>
        <v/>
      </c>
      <c r="N56">
        <f>IFERROR(SUMIF('5-Accidents du Travail'!C5:C104,C56,'5-Accidents du Travail'!M5:M104),0)</f>
        <v/>
      </c>
    </row>
    <row r="57" ht="22" customHeight="1">
      <c r="B57" s="16">
        <f>IF(C57="","MP-"&amp;TEXT(COUNTA($C$5:C57),"000"))</f>
        <v/>
      </c>
      <c r="C57" s="11" t="n"/>
      <c r="D57" s="11" t="n"/>
      <c r="E57" s="11" t="n"/>
      <c r="F57" s="11" t="n"/>
      <c r="G57" s="11" t="n"/>
      <c r="H57" s="28" t="n"/>
      <c r="I57" s="28" t="n"/>
      <c r="J57" s="22" t="n"/>
      <c r="K57" s="11" t="n"/>
      <c r="L57" s="11" t="n"/>
      <c r="M57">
        <f>IFERROR(COUNTIF('5-Accidents du Travail'!C5:C104,C57),0)</f>
        <v/>
      </c>
      <c r="N57">
        <f>IFERROR(SUMIF('5-Accidents du Travail'!C5:C104,C57,'5-Accidents du Travail'!M5:M104),0)</f>
        <v/>
      </c>
    </row>
    <row r="58" ht="22" customHeight="1">
      <c r="B58" s="15">
        <f>IF(C58="","MP-"&amp;TEXT(COUNTA($C$5:C58),"000"))</f>
        <v/>
      </c>
      <c r="C58" s="13" t="n"/>
      <c r="D58" s="13" t="n"/>
      <c r="E58" s="13" t="n"/>
      <c r="F58" s="13" t="n"/>
      <c r="G58" s="13" t="n"/>
      <c r="H58" s="29" t="n"/>
      <c r="I58" s="29" t="n"/>
      <c r="J58" s="23" t="n"/>
      <c r="K58" s="13" t="n"/>
      <c r="L58" s="13" t="n"/>
      <c r="M58">
        <f>IFERROR(COUNTIF('5-Accidents du Travail'!C5:C104,C58),0)</f>
        <v/>
      </c>
      <c r="N58">
        <f>IFERROR(SUMIF('5-Accidents du Travail'!C5:C104,C58,'5-Accidents du Travail'!M5:M104),0)</f>
        <v/>
      </c>
    </row>
    <row r="59" ht="22" customHeight="1">
      <c r="B59" s="16">
        <f>IF(C59="","MP-"&amp;TEXT(COUNTA($C$5:C59),"000"))</f>
        <v/>
      </c>
      <c r="C59" s="11" t="n"/>
      <c r="D59" s="11" t="n"/>
      <c r="E59" s="11" t="n"/>
      <c r="F59" s="11" t="n"/>
      <c r="G59" s="11" t="n"/>
      <c r="H59" s="28" t="n"/>
      <c r="I59" s="28" t="n"/>
      <c r="J59" s="22" t="n"/>
      <c r="K59" s="11" t="n"/>
      <c r="L59" s="11" t="n"/>
      <c r="M59">
        <f>IFERROR(COUNTIF('5-Accidents du Travail'!C5:C104,C59),0)</f>
        <v/>
      </c>
      <c r="N59">
        <f>IFERROR(SUMIF('5-Accidents du Travail'!C5:C104,C59,'5-Accidents du Travail'!M5:M104),0)</f>
        <v/>
      </c>
    </row>
    <row r="60" ht="22" customHeight="1">
      <c r="B60" s="15">
        <f>IF(C60="","MP-"&amp;TEXT(COUNTA($C$5:C60),"000"))</f>
        <v/>
      </c>
      <c r="C60" s="13" t="n"/>
      <c r="D60" s="13" t="n"/>
      <c r="E60" s="13" t="n"/>
      <c r="F60" s="13" t="n"/>
      <c r="G60" s="13" t="n"/>
      <c r="H60" s="29" t="n"/>
      <c r="I60" s="29" t="n"/>
      <c r="J60" s="23" t="n"/>
      <c r="K60" s="13" t="n"/>
      <c r="L60" s="13" t="n"/>
      <c r="M60">
        <f>IFERROR(COUNTIF('5-Accidents du Travail'!C5:C104,C60),0)</f>
        <v/>
      </c>
      <c r="N60">
        <f>IFERROR(SUMIF('5-Accidents du Travail'!C5:C104,C60,'5-Accidents du Travail'!M5:M104),0)</f>
        <v/>
      </c>
    </row>
    <row r="61" ht="22" customHeight="1">
      <c r="B61" s="16">
        <f>IF(C61="","MP-"&amp;TEXT(COUNTA($C$5:C61),"000"))</f>
        <v/>
      </c>
      <c r="C61" s="11" t="n"/>
      <c r="D61" s="11" t="n"/>
      <c r="E61" s="11" t="n"/>
      <c r="F61" s="11" t="n"/>
      <c r="G61" s="11" t="n"/>
      <c r="H61" s="28" t="n"/>
      <c r="I61" s="28" t="n"/>
      <c r="J61" s="22" t="n"/>
      <c r="K61" s="11" t="n"/>
      <c r="L61" s="11" t="n"/>
      <c r="M61">
        <f>IFERROR(COUNTIF('5-Accidents du Travail'!C5:C104,C61),0)</f>
        <v/>
      </c>
      <c r="N61">
        <f>IFERROR(SUMIF('5-Accidents du Travail'!C5:C104,C61,'5-Accidents du Travail'!M5:M104),0)</f>
        <v/>
      </c>
    </row>
    <row r="62" ht="22" customHeight="1">
      <c r="B62" s="15">
        <f>IF(C62="","MP-"&amp;TEXT(COUNTA($C$5:C62),"000"))</f>
        <v/>
      </c>
      <c r="C62" s="13" t="n"/>
      <c r="D62" s="13" t="n"/>
      <c r="E62" s="13" t="n"/>
      <c r="F62" s="13" t="n"/>
      <c r="G62" s="13" t="n"/>
      <c r="H62" s="29" t="n"/>
      <c r="I62" s="29" t="n"/>
      <c r="J62" s="23" t="n"/>
      <c r="K62" s="13" t="n"/>
      <c r="L62" s="13" t="n"/>
      <c r="M62">
        <f>IFERROR(COUNTIF('5-Accidents du Travail'!C5:C104,C62),0)</f>
        <v/>
      </c>
      <c r="N62">
        <f>IFERROR(SUMIF('5-Accidents du Travail'!C5:C104,C62,'5-Accidents du Travail'!M5:M104),0)</f>
        <v/>
      </c>
    </row>
    <row r="63" ht="22" customHeight="1">
      <c r="B63" s="16">
        <f>IF(C63="","MP-"&amp;TEXT(COUNTA($C$5:C63),"000"))</f>
        <v/>
      </c>
      <c r="C63" s="11" t="n"/>
      <c r="D63" s="11" t="n"/>
      <c r="E63" s="11" t="n"/>
      <c r="F63" s="11" t="n"/>
      <c r="G63" s="11" t="n"/>
      <c r="H63" s="28" t="n"/>
      <c r="I63" s="28" t="n"/>
      <c r="J63" s="22" t="n"/>
      <c r="K63" s="11" t="n"/>
      <c r="L63" s="11" t="n"/>
      <c r="M63">
        <f>IFERROR(COUNTIF('5-Accidents du Travail'!C5:C104,C63),0)</f>
        <v/>
      </c>
      <c r="N63">
        <f>IFERROR(SUMIF('5-Accidents du Travail'!C5:C104,C63,'5-Accidents du Travail'!M5:M104),0)</f>
        <v/>
      </c>
    </row>
    <row r="64" ht="22" customHeight="1">
      <c r="B64" s="15">
        <f>IF(C64="","MP-"&amp;TEXT(COUNTA($C$5:C64),"000"))</f>
        <v/>
      </c>
      <c r="C64" s="13" t="n"/>
      <c r="D64" s="13" t="n"/>
      <c r="E64" s="13" t="n"/>
      <c r="F64" s="13" t="n"/>
      <c r="G64" s="13" t="n"/>
      <c r="H64" s="29" t="n"/>
      <c r="I64" s="29" t="n"/>
      <c r="J64" s="23" t="n"/>
      <c r="K64" s="13" t="n"/>
      <c r="L64" s="13" t="n"/>
      <c r="M64">
        <f>IFERROR(COUNTIF('5-Accidents du Travail'!C5:C104,C64),0)</f>
        <v/>
      </c>
      <c r="N64">
        <f>IFERROR(SUMIF('5-Accidents du Travail'!C5:C104,C64,'5-Accidents du Travail'!M5:M104),0)</f>
        <v/>
      </c>
    </row>
    <row r="65" ht="22" customHeight="1">
      <c r="B65" s="16">
        <f>IF(C65="","MP-"&amp;TEXT(COUNTA($C$5:C65),"000"))</f>
        <v/>
      </c>
      <c r="C65" s="11" t="n"/>
      <c r="D65" s="11" t="n"/>
      <c r="E65" s="11" t="n"/>
      <c r="F65" s="11" t="n"/>
      <c r="G65" s="11" t="n"/>
      <c r="H65" s="28" t="n"/>
      <c r="I65" s="28" t="n"/>
      <c r="J65" s="22" t="n"/>
      <c r="K65" s="11" t="n"/>
      <c r="L65" s="11" t="n"/>
      <c r="M65">
        <f>IFERROR(COUNTIF('5-Accidents du Travail'!C5:C104,C65),0)</f>
        <v/>
      </c>
      <c r="N65">
        <f>IFERROR(SUMIF('5-Accidents du Travail'!C5:C104,C65,'5-Accidents du Travail'!M5:M104),0)</f>
        <v/>
      </c>
    </row>
    <row r="66" ht="22" customHeight="1">
      <c r="B66" s="15">
        <f>IF(C66="","MP-"&amp;TEXT(COUNTA($C$5:C66),"000"))</f>
        <v/>
      </c>
      <c r="C66" s="13" t="n"/>
      <c r="D66" s="13" t="n"/>
      <c r="E66" s="13" t="n"/>
      <c r="F66" s="13" t="n"/>
      <c r="G66" s="13" t="n"/>
      <c r="H66" s="29" t="n"/>
      <c r="I66" s="29" t="n"/>
      <c r="J66" s="23" t="n"/>
      <c r="K66" s="13" t="n"/>
      <c r="L66" s="13" t="n"/>
      <c r="M66">
        <f>IFERROR(COUNTIF('5-Accidents du Travail'!C5:C104,C66),0)</f>
        <v/>
      </c>
      <c r="N66">
        <f>IFERROR(SUMIF('5-Accidents du Travail'!C5:C104,C66,'5-Accidents du Travail'!M5:M104),0)</f>
        <v/>
      </c>
    </row>
    <row r="67" ht="22" customHeight="1">
      <c r="B67" s="16">
        <f>IF(C67="","MP-"&amp;TEXT(COUNTA($C$5:C67),"000"))</f>
        <v/>
      </c>
      <c r="C67" s="11" t="n"/>
      <c r="D67" s="11" t="n"/>
      <c r="E67" s="11" t="n"/>
      <c r="F67" s="11" t="n"/>
      <c r="G67" s="11" t="n"/>
      <c r="H67" s="28" t="n"/>
      <c r="I67" s="28" t="n"/>
      <c r="J67" s="22" t="n"/>
      <c r="K67" s="11" t="n"/>
      <c r="L67" s="11" t="n"/>
      <c r="M67">
        <f>IFERROR(COUNTIF('5-Accidents du Travail'!C5:C104,C67),0)</f>
        <v/>
      </c>
      <c r="N67">
        <f>IFERROR(SUMIF('5-Accidents du Travail'!C5:C104,C67,'5-Accidents du Travail'!M5:M104),0)</f>
        <v/>
      </c>
    </row>
    <row r="68" ht="22" customHeight="1">
      <c r="B68" s="15">
        <f>IF(C68="","MP-"&amp;TEXT(COUNTA($C$5:C68),"000"))</f>
        <v/>
      </c>
      <c r="C68" s="13" t="n"/>
      <c r="D68" s="13" t="n"/>
      <c r="E68" s="13" t="n"/>
      <c r="F68" s="13" t="n"/>
      <c r="G68" s="13" t="n"/>
      <c r="H68" s="29" t="n"/>
      <c r="I68" s="29" t="n"/>
      <c r="J68" s="23" t="n"/>
      <c r="K68" s="13" t="n"/>
      <c r="L68" s="13" t="n"/>
      <c r="M68">
        <f>IFERROR(COUNTIF('5-Accidents du Travail'!C5:C104,C68),0)</f>
        <v/>
      </c>
      <c r="N68">
        <f>IFERROR(SUMIF('5-Accidents du Travail'!C5:C104,C68,'5-Accidents du Travail'!M5:M104),0)</f>
        <v/>
      </c>
    </row>
    <row r="69" ht="22" customHeight="1">
      <c r="B69" s="16">
        <f>IF(C69="","MP-"&amp;TEXT(COUNTA($C$5:C69),"000"))</f>
        <v/>
      </c>
      <c r="C69" s="11" t="n"/>
      <c r="D69" s="11" t="n"/>
      <c r="E69" s="11" t="n"/>
      <c r="F69" s="11" t="n"/>
      <c r="G69" s="11" t="n"/>
      <c r="H69" s="28" t="n"/>
      <c r="I69" s="28" t="n"/>
      <c r="J69" s="22" t="n"/>
      <c r="K69" s="11" t="n"/>
      <c r="L69" s="11" t="n"/>
      <c r="M69">
        <f>IFERROR(COUNTIF('5-Accidents du Travail'!C5:C104,C69),0)</f>
        <v/>
      </c>
      <c r="N69">
        <f>IFERROR(SUMIF('5-Accidents du Travail'!C5:C104,C69,'5-Accidents du Travail'!M5:M104),0)</f>
        <v/>
      </c>
    </row>
    <row r="70" ht="22" customHeight="1">
      <c r="B70" s="15">
        <f>IF(C70="","MP-"&amp;TEXT(COUNTA($C$5:C70),"000"))</f>
        <v/>
      </c>
      <c r="C70" s="13" t="n"/>
      <c r="D70" s="13" t="n"/>
      <c r="E70" s="13" t="n"/>
      <c r="F70" s="13" t="n"/>
      <c r="G70" s="13" t="n"/>
      <c r="H70" s="29" t="n"/>
      <c r="I70" s="29" t="n"/>
      <c r="J70" s="23" t="n"/>
      <c r="K70" s="13" t="n"/>
      <c r="L70" s="13" t="n"/>
      <c r="M70">
        <f>IFERROR(COUNTIF('5-Accidents du Travail'!C5:C104,C70),0)</f>
        <v/>
      </c>
      <c r="N70">
        <f>IFERROR(SUMIF('5-Accidents du Travail'!C5:C104,C70,'5-Accidents du Travail'!M5:M104),0)</f>
        <v/>
      </c>
    </row>
    <row r="71" ht="22" customHeight="1">
      <c r="B71" s="16">
        <f>IF(C71="","MP-"&amp;TEXT(COUNTA($C$5:C71),"000"))</f>
        <v/>
      </c>
      <c r="C71" s="11" t="n"/>
      <c r="D71" s="11" t="n"/>
      <c r="E71" s="11" t="n"/>
      <c r="F71" s="11" t="n"/>
      <c r="G71" s="11" t="n"/>
      <c r="H71" s="28" t="n"/>
      <c r="I71" s="28" t="n"/>
      <c r="J71" s="22" t="n"/>
      <c r="K71" s="11" t="n"/>
      <c r="L71" s="11" t="n"/>
      <c r="M71">
        <f>IFERROR(COUNTIF('5-Accidents du Travail'!C5:C104,C71),0)</f>
        <v/>
      </c>
      <c r="N71">
        <f>IFERROR(SUMIF('5-Accidents du Travail'!C5:C104,C71,'5-Accidents du Travail'!M5:M104),0)</f>
        <v/>
      </c>
    </row>
    <row r="72" ht="22" customHeight="1">
      <c r="B72" s="15">
        <f>IF(C72="","MP-"&amp;TEXT(COUNTA($C$5:C72),"000"))</f>
        <v/>
      </c>
      <c r="C72" s="13" t="n"/>
      <c r="D72" s="13" t="n"/>
      <c r="E72" s="13" t="n"/>
      <c r="F72" s="13" t="n"/>
      <c r="G72" s="13" t="n"/>
      <c r="H72" s="29" t="n"/>
      <c r="I72" s="29" t="n"/>
      <c r="J72" s="23" t="n"/>
      <c r="K72" s="13" t="n"/>
      <c r="L72" s="13" t="n"/>
      <c r="M72">
        <f>IFERROR(COUNTIF('5-Accidents du Travail'!C5:C104,C72),0)</f>
        <v/>
      </c>
      <c r="N72">
        <f>IFERROR(SUMIF('5-Accidents du Travail'!C5:C104,C72,'5-Accidents du Travail'!M5:M104),0)</f>
        <v/>
      </c>
    </row>
    <row r="73" ht="22" customHeight="1">
      <c r="B73" s="16">
        <f>IF(C73="","MP-"&amp;TEXT(COUNTA($C$5:C73),"000"))</f>
        <v/>
      </c>
      <c r="C73" s="11" t="n"/>
      <c r="D73" s="11" t="n"/>
      <c r="E73" s="11" t="n"/>
      <c r="F73" s="11" t="n"/>
      <c r="G73" s="11" t="n"/>
      <c r="H73" s="28" t="n"/>
      <c r="I73" s="28" t="n"/>
      <c r="J73" s="22" t="n"/>
      <c r="K73" s="11" t="n"/>
      <c r="L73" s="11" t="n"/>
      <c r="M73">
        <f>IFERROR(COUNTIF('5-Accidents du Travail'!C5:C104,C73),0)</f>
        <v/>
      </c>
      <c r="N73">
        <f>IFERROR(SUMIF('5-Accidents du Travail'!C5:C104,C73,'5-Accidents du Travail'!M5:M104),0)</f>
        <v/>
      </c>
    </row>
    <row r="74" ht="22" customHeight="1">
      <c r="B74" s="15">
        <f>IF(C74="","MP-"&amp;TEXT(COUNTA($C$5:C74),"000"))</f>
        <v/>
      </c>
      <c r="C74" s="13" t="n"/>
      <c r="D74" s="13" t="n"/>
      <c r="E74" s="13" t="n"/>
      <c r="F74" s="13" t="n"/>
      <c r="G74" s="13" t="n"/>
      <c r="H74" s="29" t="n"/>
      <c r="I74" s="29" t="n"/>
      <c r="J74" s="23" t="n"/>
      <c r="K74" s="13" t="n"/>
      <c r="L74" s="13" t="n"/>
      <c r="M74">
        <f>IFERROR(COUNTIF('5-Accidents du Travail'!C5:C104,C74),0)</f>
        <v/>
      </c>
      <c r="N74">
        <f>IFERROR(SUMIF('5-Accidents du Travail'!C5:C104,C74,'5-Accidents du Travail'!M5:M104),0)</f>
        <v/>
      </c>
    </row>
    <row r="75" ht="22" customHeight="1">
      <c r="B75" s="16">
        <f>IF(C75="","MP-"&amp;TEXT(COUNTA($C$5:C75),"000"))</f>
        <v/>
      </c>
      <c r="C75" s="11" t="n"/>
      <c r="D75" s="11" t="n"/>
      <c r="E75" s="11" t="n"/>
      <c r="F75" s="11" t="n"/>
      <c r="G75" s="11" t="n"/>
      <c r="H75" s="28" t="n"/>
      <c r="I75" s="28" t="n"/>
      <c r="J75" s="22" t="n"/>
      <c r="K75" s="11" t="n"/>
      <c r="L75" s="11" t="n"/>
      <c r="M75">
        <f>IFERROR(COUNTIF('5-Accidents du Travail'!C5:C104,C75),0)</f>
        <v/>
      </c>
      <c r="N75">
        <f>IFERROR(SUMIF('5-Accidents du Travail'!C5:C104,C75,'5-Accidents du Travail'!M5:M104),0)</f>
        <v/>
      </c>
    </row>
    <row r="76" ht="22" customHeight="1">
      <c r="B76" s="15">
        <f>IF(C76="","MP-"&amp;TEXT(COUNTA($C$5:C76),"000"))</f>
        <v/>
      </c>
      <c r="C76" s="13" t="n"/>
      <c r="D76" s="13" t="n"/>
      <c r="E76" s="13" t="n"/>
      <c r="F76" s="13" t="n"/>
      <c r="G76" s="13" t="n"/>
      <c r="H76" s="29" t="n"/>
      <c r="I76" s="29" t="n"/>
      <c r="J76" s="23" t="n"/>
      <c r="K76" s="13" t="n"/>
      <c r="L76" s="13" t="n"/>
      <c r="M76">
        <f>IFERROR(COUNTIF('5-Accidents du Travail'!C5:C104,C76),0)</f>
        <v/>
      </c>
      <c r="N76">
        <f>IFERROR(SUMIF('5-Accidents du Travail'!C5:C104,C76,'5-Accidents du Travail'!M5:M104),0)</f>
        <v/>
      </c>
    </row>
    <row r="77" ht="22" customHeight="1">
      <c r="B77" s="16">
        <f>IF(C77="","MP-"&amp;TEXT(COUNTA($C$5:C77),"000"))</f>
        <v/>
      </c>
      <c r="C77" s="11" t="n"/>
      <c r="D77" s="11" t="n"/>
      <c r="E77" s="11" t="n"/>
      <c r="F77" s="11" t="n"/>
      <c r="G77" s="11" t="n"/>
      <c r="H77" s="28" t="n"/>
      <c r="I77" s="28" t="n"/>
      <c r="J77" s="22" t="n"/>
      <c r="K77" s="11" t="n"/>
      <c r="L77" s="11" t="n"/>
      <c r="M77">
        <f>IFERROR(COUNTIF('5-Accidents du Travail'!C5:C104,C77),0)</f>
        <v/>
      </c>
      <c r="N77">
        <f>IFERROR(SUMIF('5-Accidents du Travail'!C5:C104,C77,'5-Accidents du Travail'!M5:M104),0)</f>
        <v/>
      </c>
    </row>
    <row r="78" ht="22" customHeight="1">
      <c r="B78" s="15">
        <f>IF(C78="","MP-"&amp;TEXT(COUNTA($C$5:C78),"000"))</f>
        <v/>
      </c>
      <c r="C78" s="13" t="n"/>
      <c r="D78" s="13" t="n"/>
      <c r="E78" s="13" t="n"/>
      <c r="F78" s="13" t="n"/>
      <c r="G78" s="13" t="n"/>
      <c r="H78" s="29" t="n"/>
      <c r="I78" s="29" t="n"/>
      <c r="J78" s="23" t="n"/>
      <c r="K78" s="13" t="n"/>
      <c r="L78" s="13" t="n"/>
      <c r="M78">
        <f>IFERROR(COUNTIF('5-Accidents du Travail'!C5:C104,C78),0)</f>
        <v/>
      </c>
      <c r="N78">
        <f>IFERROR(SUMIF('5-Accidents du Travail'!C5:C104,C78,'5-Accidents du Travail'!M5:M104),0)</f>
        <v/>
      </c>
    </row>
    <row r="79" ht="22" customHeight="1">
      <c r="B79" s="16">
        <f>IF(C79="","MP-"&amp;TEXT(COUNTA($C$5:C79),"000"))</f>
        <v/>
      </c>
      <c r="C79" s="11" t="n"/>
      <c r="D79" s="11" t="n"/>
      <c r="E79" s="11" t="n"/>
      <c r="F79" s="11" t="n"/>
      <c r="G79" s="11" t="n"/>
      <c r="H79" s="28" t="n"/>
      <c r="I79" s="28" t="n"/>
      <c r="J79" s="22" t="n"/>
      <c r="K79" s="11" t="n"/>
      <c r="L79" s="11" t="n"/>
      <c r="M79">
        <f>IFERROR(COUNTIF('5-Accidents du Travail'!C5:C104,C79),0)</f>
        <v/>
      </c>
      <c r="N79">
        <f>IFERROR(SUMIF('5-Accidents du Travail'!C5:C104,C79,'5-Accidents du Travail'!M5:M104),0)</f>
        <v/>
      </c>
    </row>
    <row r="80" ht="22" customHeight="1">
      <c r="B80" s="15">
        <f>IF(C80="","MP-"&amp;TEXT(COUNTA($C$5:C80),"000"))</f>
        <v/>
      </c>
      <c r="C80" s="13" t="n"/>
      <c r="D80" s="13" t="n"/>
      <c r="E80" s="13" t="n"/>
      <c r="F80" s="13" t="n"/>
      <c r="G80" s="13" t="n"/>
      <c r="H80" s="29" t="n"/>
      <c r="I80" s="29" t="n"/>
      <c r="J80" s="23" t="n"/>
      <c r="K80" s="13" t="n"/>
      <c r="L80" s="13" t="n"/>
      <c r="M80">
        <f>IFERROR(COUNTIF('5-Accidents du Travail'!C5:C104,C80),0)</f>
        <v/>
      </c>
      <c r="N80">
        <f>IFERROR(SUMIF('5-Accidents du Travail'!C5:C104,C80,'5-Accidents du Travail'!M5:M104),0)</f>
        <v/>
      </c>
    </row>
    <row r="81" ht="22" customHeight="1">
      <c r="B81" s="16">
        <f>IF(C81="","MP-"&amp;TEXT(COUNTA($C$5:C81),"000"))</f>
        <v/>
      </c>
      <c r="C81" s="11" t="n"/>
      <c r="D81" s="11" t="n"/>
      <c r="E81" s="11" t="n"/>
      <c r="F81" s="11" t="n"/>
      <c r="G81" s="11" t="n"/>
      <c r="H81" s="28" t="n"/>
      <c r="I81" s="28" t="n"/>
      <c r="J81" s="22" t="n"/>
      <c r="K81" s="11" t="n"/>
      <c r="L81" s="11" t="n"/>
      <c r="M81">
        <f>IFERROR(COUNTIF('5-Accidents du Travail'!C5:C104,C81),0)</f>
        <v/>
      </c>
      <c r="N81">
        <f>IFERROR(SUMIF('5-Accidents du Travail'!C5:C104,C81,'5-Accidents du Travail'!M5:M104),0)</f>
        <v/>
      </c>
    </row>
    <row r="82" ht="22" customHeight="1">
      <c r="B82" s="15">
        <f>IF(C82="","MP-"&amp;TEXT(COUNTA($C$5:C82),"000"))</f>
        <v/>
      </c>
      <c r="C82" s="13" t="n"/>
      <c r="D82" s="13" t="n"/>
      <c r="E82" s="13" t="n"/>
      <c r="F82" s="13" t="n"/>
      <c r="G82" s="13" t="n"/>
      <c r="H82" s="29" t="n"/>
      <c r="I82" s="29" t="n"/>
      <c r="J82" s="23" t="n"/>
      <c r="K82" s="13" t="n"/>
      <c r="L82" s="13" t="n"/>
      <c r="M82">
        <f>IFERROR(COUNTIF('5-Accidents du Travail'!C5:C104,C82),0)</f>
        <v/>
      </c>
      <c r="N82">
        <f>IFERROR(SUMIF('5-Accidents du Travail'!C5:C104,C82,'5-Accidents du Travail'!M5:M104),0)</f>
        <v/>
      </c>
    </row>
    <row r="83" ht="22" customHeight="1">
      <c r="B83" s="16">
        <f>IF(C83="","MP-"&amp;TEXT(COUNTA($C$5:C83),"000"))</f>
        <v/>
      </c>
      <c r="C83" s="11" t="n"/>
      <c r="D83" s="11" t="n"/>
      <c r="E83" s="11" t="n"/>
      <c r="F83" s="11" t="n"/>
      <c r="G83" s="11" t="n"/>
      <c r="H83" s="28" t="n"/>
      <c r="I83" s="28" t="n"/>
      <c r="J83" s="22" t="n"/>
      <c r="K83" s="11" t="n"/>
      <c r="L83" s="11" t="n"/>
      <c r="M83">
        <f>IFERROR(COUNTIF('5-Accidents du Travail'!C5:C104,C83),0)</f>
        <v/>
      </c>
      <c r="N83">
        <f>IFERROR(SUMIF('5-Accidents du Travail'!C5:C104,C83,'5-Accidents du Travail'!M5:M104),0)</f>
        <v/>
      </c>
    </row>
    <row r="84" ht="22" customHeight="1">
      <c r="B84" s="15">
        <f>IF(C84="","MP-"&amp;TEXT(COUNTA($C$5:C84),"000"))</f>
        <v/>
      </c>
      <c r="C84" s="13" t="n"/>
      <c r="D84" s="13" t="n"/>
      <c r="E84" s="13" t="n"/>
      <c r="F84" s="13" t="n"/>
      <c r="G84" s="13" t="n"/>
      <c r="H84" s="29" t="n"/>
      <c r="I84" s="29" t="n"/>
      <c r="J84" s="23" t="n"/>
      <c r="K84" s="13" t="n"/>
      <c r="L84" s="13" t="n"/>
      <c r="M84">
        <f>IFERROR(COUNTIF('5-Accidents du Travail'!C5:C104,C84),0)</f>
        <v/>
      </c>
      <c r="N84">
        <f>IFERROR(SUMIF('5-Accidents du Travail'!C5:C104,C84,'5-Accidents du Travail'!M5:M104),0)</f>
        <v/>
      </c>
    </row>
    <row r="85" ht="22" customHeight="1">
      <c r="B85" s="16">
        <f>IF(C85="","MP-"&amp;TEXT(COUNTA($C$5:C85),"000"))</f>
        <v/>
      </c>
      <c r="C85" s="11" t="n"/>
      <c r="D85" s="11" t="n"/>
      <c r="E85" s="11" t="n"/>
      <c r="F85" s="11" t="n"/>
      <c r="G85" s="11" t="n"/>
      <c r="H85" s="28" t="n"/>
      <c r="I85" s="28" t="n"/>
      <c r="J85" s="22" t="n"/>
      <c r="K85" s="11" t="n"/>
      <c r="L85" s="11" t="n"/>
      <c r="M85">
        <f>IFERROR(COUNTIF('5-Accidents du Travail'!C5:C104,C85),0)</f>
        <v/>
      </c>
      <c r="N85">
        <f>IFERROR(SUMIF('5-Accidents du Travail'!C5:C104,C85,'5-Accidents du Travail'!M5:M104),0)</f>
        <v/>
      </c>
    </row>
    <row r="86" ht="22" customHeight="1">
      <c r="B86" s="15">
        <f>IF(C86="","MP-"&amp;TEXT(COUNTA($C$5:C86),"000"))</f>
        <v/>
      </c>
      <c r="C86" s="13" t="n"/>
      <c r="D86" s="13" t="n"/>
      <c r="E86" s="13" t="n"/>
      <c r="F86" s="13" t="n"/>
      <c r="G86" s="13" t="n"/>
      <c r="H86" s="29" t="n"/>
      <c r="I86" s="29" t="n"/>
      <c r="J86" s="23" t="n"/>
      <c r="K86" s="13" t="n"/>
      <c r="L86" s="13" t="n"/>
      <c r="M86">
        <f>IFERROR(COUNTIF('5-Accidents du Travail'!C5:C104,C86),0)</f>
        <v/>
      </c>
      <c r="N86">
        <f>IFERROR(SUMIF('5-Accidents du Travail'!C5:C104,C86,'5-Accidents du Travail'!M5:M104),0)</f>
        <v/>
      </c>
    </row>
    <row r="87" ht="22" customHeight="1">
      <c r="B87" s="16">
        <f>IF(C87="","MP-"&amp;TEXT(COUNTA($C$5:C87),"000"))</f>
        <v/>
      </c>
      <c r="C87" s="11" t="n"/>
      <c r="D87" s="11" t="n"/>
      <c r="E87" s="11" t="n"/>
      <c r="F87" s="11" t="n"/>
      <c r="G87" s="11" t="n"/>
      <c r="H87" s="28" t="n"/>
      <c r="I87" s="28" t="n"/>
      <c r="J87" s="22" t="n"/>
      <c r="K87" s="11" t="n"/>
      <c r="L87" s="11" t="n"/>
      <c r="M87">
        <f>IFERROR(COUNTIF('5-Accidents du Travail'!C5:C104,C87),0)</f>
        <v/>
      </c>
      <c r="N87">
        <f>IFERROR(SUMIF('5-Accidents du Travail'!C5:C104,C87,'5-Accidents du Travail'!M5:M104),0)</f>
        <v/>
      </c>
    </row>
    <row r="88" ht="22" customHeight="1">
      <c r="B88" s="15">
        <f>IF(C88="","MP-"&amp;TEXT(COUNTA($C$5:C88),"000"))</f>
        <v/>
      </c>
      <c r="C88" s="13" t="n"/>
      <c r="D88" s="13" t="n"/>
      <c r="E88" s="13" t="n"/>
      <c r="F88" s="13" t="n"/>
      <c r="G88" s="13" t="n"/>
      <c r="H88" s="29" t="n"/>
      <c r="I88" s="29" t="n"/>
      <c r="J88" s="23" t="n"/>
      <c r="K88" s="13" t="n"/>
      <c r="L88" s="13" t="n"/>
      <c r="M88">
        <f>IFERROR(COUNTIF('5-Accidents du Travail'!C5:C104,C88),0)</f>
        <v/>
      </c>
      <c r="N88">
        <f>IFERROR(SUMIF('5-Accidents du Travail'!C5:C104,C88,'5-Accidents du Travail'!M5:M104),0)</f>
        <v/>
      </c>
    </row>
    <row r="89" ht="22" customHeight="1">
      <c r="B89" s="16">
        <f>IF(C89="","MP-"&amp;TEXT(COUNTA($C$5:C89),"000"))</f>
        <v/>
      </c>
      <c r="C89" s="11" t="n"/>
      <c r="D89" s="11" t="n"/>
      <c r="E89" s="11" t="n"/>
      <c r="F89" s="11" t="n"/>
      <c r="G89" s="11" t="n"/>
      <c r="H89" s="28" t="n"/>
      <c r="I89" s="28" t="n"/>
      <c r="J89" s="22" t="n"/>
      <c r="K89" s="11" t="n"/>
      <c r="L89" s="11" t="n"/>
      <c r="M89">
        <f>IFERROR(COUNTIF('5-Accidents du Travail'!C5:C104,C89),0)</f>
        <v/>
      </c>
      <c r="N89">
        <f>IFERROR(SUMIF('5-Accidents du Travail'!C5:C104,C89,'5-Accidents du Travail'!M5:M104),0)</f>
        <v/>
      </c>
    </row>
    <row r="90" ht="22" customHeight="1">
      <c r="B90" s="15">
        <f>IF(C90="","MP-"&amp;TEXT(COUNTA($C$5:C90),"000"))</f>
        <v/>
      </c>
      <c r="C90" s="13" t="n"/>
      <c r="D90" s="13" t="n"/>
      <c r="E90" s="13" t="n"/>
      <c r="F90" s="13" t="n"/>
      <c r="G90" s="13" t="n"/>
      <c r="H90" s="29" t="n"/>
      <c r="I90" s="29" t="n"/>
      <c r="J90" s="23" t="n"/>
      <c r="K90" s="13" t="n"/>
      <c r="L90" s="13" t="n"/>
      <c r="M90">
        <f>IFERROR(COUNTIF('5-Accidents du Travail'!C5:C104,C90),0)</f>
        <v/>
      </c>
      <c r="N90">
        <f>IFERROR(SUMIF('5-Accidents du Travail'!C5:C104,C90,'5-Accidents du Travail'!M5:M104),0)</f>
        <v/>
      </c>
    </row>
    <row r="91" ht="22" customHeight="1">
      <c r="B91" s="16">
        <f>IF(C91="","MP-"&amp;TEXT(COUNTA($C$5:C91),"000"))</f>
        <v/>
      </c>
      <c r="C91" s="11" t="n"/>
      <c r="D91" s="11" t="n"/>
      <c r="E91" s="11" t="n"/>
      <c r="F91" s="11" t="n"/>
      <c r="G91" s="11" t="n"/>
      <c r="H91" s="28" t="n"/>
      <c r="I91" s="28" t="n"/>
      <c r="J91" s="22" t="n"/>
      <c r="K91" s="11" t="n"/>
      <c r="L91" s="11" t="n"/>
      <c r="M91">
        <f>IFERROR(COUNTIF('5-Accidents du Travail'!C5:C104,C91),0)</f>
        <v/>
      </c>
      <c r="N91">
        <f>IFERROR(SUMIF('5-Accidents du Travail'!C5:C104,C91,'5-Accidents du Travail'!M5:M104),0)</f>
        <v/>
      </c>
    </row>
    <row r="92" ht="22" customHeight="1">
      <c r="B92" s="15">
        <f>IF(C92="","MP-"&amp;TEXT(COUNTA($C$5:C92),"000"))</f>
        <v/>
      </c>
      <c r="C92" s="13" t="n"/>
      <c r="D92" s="13" t="n"/>
      <c r="E92" s="13" t="n"/>
      <c r="F92" s="13" t="n"/>
      <c r="G92" s="13" t="n"/>
      <c r="H92" s="29" t="n"/>
      <c r="I92" s="29" t="n"/>
      <c r="J92" s="23" t="n"/>
      <c r="K92" s="13" t="n"/>
      <c r="L92" s="13" t="n"/>
      <c r="M92">
        <f>IFERROR(COUNTIF('5-Accidents du Travail'!C5:C104,C92),0)</f>
        <v/>
      </c>
      <c r="N92">
        <f>IFERROR(SUMIF('5-Accidents du Travail'!C5:C104,C92,'5-Accidents du Travail'!M5:M104),0)</f>
        <v/>
      </c>
    </row>
    <row r="93" ht="22" customHeight="1">
      <c r="B93" s="16">
        <f>IF(C93="","MP-"&amp;TEXT(COUNTA($C$5:C93),"000"))</f>
        <v/>
      </c>
      <c r="C93" s="11" t="n"/>
      <c r="D93" s="11" t="n"/>
      <c r="E93" s="11" t="n"/>
      <c r="F93" s="11" t="n"/>
      <c r="G93" s="11" t="n"/>
      <c r="H93" s="28" t="n"/>
      <c r="I93" s="28" t="n"/>
      <c r="J93" s="22" t="n"/>
      <c r="K93" s="11" t="n"/>
      <c r="L93" s="11" t="n"/>
      <c r="M93">
        <f>IFERROR(COUNTIF('5-Accidents du Travail'!C5:C104,C93),0)</f>
        <v/>
      </c>
      <c r="N93">
        <f>IFERROR(SUMIF('5-Accidents du Travail'!C5:C104,C93,'5-Accidents du Travail'!M5:M104),0)</f>
        <v/>
      </c>
    </row>
    <row r="94" ht="22" customHeight="1">
      <c r="B94" s="15">
        <f>IF(C94="","MP-"&amp;TEXT(COUNTA($C$5:C94),"000"))</f>
        <v/>
      </c>
      <c r="C94" s="13" t="n"/>
      <c r="D94" s="13" t="n"/>
      <c r="E94" s="13" t="n"/>
      <c r="F94" s="13" t="n"/>
      <c r="G94" s="13" t="n"/>
      <c r="H94" s="29" t="n"/>
      <c r="I94" s="29" t="n"/>
      <c r="J94" s="23" t="n"/>
      <c r="K94" s="13" t="n"/>
      <c r="L94" s="13" t="n"/>
      <c r="M94">
        <f>IFERROR(COUNTIF('5-Accidents du Travail'!C5:C104,C94),0)</f>
        <v/>
      </c>
      <c r="N94">
        <f>IFERROR(SUMIF('5-Accidents du Travail'!C5:C104,C94,'5-Accidents du Travail'!M5:M104),0)</f>
        <v/>
      </c>
    </row>
    <row r="95" ht="22" customHeight="1">
      <c r="B95" s="16">
        <f>IF(C95="","MP-"&amp;TEXT(COUNTA($C$5:C95),"000"))</f>
        <v/>
      </c>
      <c r="C95" s="11" t="n"/>
      <c r="D95" s="11" t="n"/>
      <c r="E95" s="11" t="n"/>
      <c r="F95" s="11" t="n"/>
      <c r="G95" s="11" t="n"/>
      <c r="H95" s="28" t="n"/>
      <c r="I95" s="28" t="n"/>
      <c r="J95" s="22" t="n"/>
      <c r="K95" s="11" t="n"/>
      <c r="L95" s="11" t="n"/>
      <c r="M95">
        <f>IFERROR(COUNTIF('5-Accidents du Travail'!C5:C104,C95),0)</f>
        <v/>
      </c>
      <c r="N95">
        <f>IFERROR(SUMIF('5-Accidents du Travail'!C5:C104,C95,'5-Accidents du Travail'!M5:M104),0)</f>
        <v/>
      </c>
    </row>
    <row r="96" ht="22" customHeight="1">
      <c r="B96" s="15">
        <f>IF(C96="","MP-"&amp;TEXT(COUNTA($C$5:C96),"000"))</f>
        <v/>
      </c>
      <c r="C96" s="13" t="n"/>
      <c r="D96" s="13" t="n"/>
      <c r="E96" s="13" t="n"/>
      <c r="F96" s="13" t="n"/>
      <c r="G96" s="13" t="n"/>
      <c r="H96" s="29" t="n"/>
      <c r="I96" s="29" t="n"/>
      <c r="J96" s="23" t="n"/>
      <c r="K96" s="13" t="n"/>
      <c r="L96" s="13" t="n"/>
      <c r="M96">
        <f>IFERROR(COUNTIF('5-Accidents du Travail'!C5:C104,C96),0)</f>
        <v/>
      </c>
      <c r="N96">
        <f>IFERROR(SUMIF('5-Accidents du Travail'!C5:C104,C96,'5-Accidents du Travail'!M5:M104),0)</f>
        <v/>
      </c>
    </row>
    <row r="97" ht="22" customHeight="1">
      <c r="B97" s="16">
        <f>IF(C97="","MP-"&amp;TEXT(COUNTA($C$5:C97),"000"))</f>
        <v/>
      </c>
      <c r="C97" s="11" t="n"/>
      <c r="D97" s="11" t="n"/>
      <c r="E97" s="11" t="n"/>
      <c r="F97" s="11" t="n"/>
      <c r="G97" s="11" t="n"/>
      <c r="H97" s="28" t="n"/>
      <c r="I97" s="28" t="n"/>
      <c r="J97" s="22" t="n"/>
      <c r="K97" s="11" t="n"/>
      <c r="L97" s="11" t="n"/>
      <c r="M97">
        <f>IFERROR(COUNTIF('5-Accidents du Travail'!C5:C104,C97),0)</f>
        <v/>
      </c>
      <c r="N97">
        <f>IFERROR(SUMIF('5-Accidents du Travail'!C5:C104,C97,'5-Accidents du Travail'!M5:M104),0)</f>
        <v/>
      </c>
    </row>
    <row r="98" ht="22" customHeight="1">
      <c r="B98" s="15">
        <f>IF(C98="","MP-"&amp;TEXT(COUNTA($C$5:C98),"000"))</f>
        <v/>
      </c>
      <c r="C98" s="13" t="n"/>
      <c r="D98" s="13" t="n"/>
      <c r="E98" s="13" t="n"/>
      <c r="F98" s="13" t="n"/>
      <c r="G98" s="13" t="n"/>
      <c r="H98" s="29" t="n"/>
      <c r="I98" s="29" t="n"/>
      <c r="J98" s="23" t="n"/>
      <c r="K98" s="13" t="n"/>
      <c r="L98" s="13" t="n"/>
      <c r="M98">
        <f>IFERROR(COUNTIF('5-Accidents du Travail'!C5:C104,C98),0)</f>
        <v/>
      </c>
      <c r="N98">
        <f>IFERROR(SUMIF('5-Accidents du Travail'!C5:C104,C98,'5-Accidents du Travail'!M5:M104),0)</f>
        <v/>
      </c>
    </row>
    <row r="99" ht="22" customHeight="1">
      <c r="B99" s="16">
        <f>IF(C99="","MP-"&amp;TEXT(COUNTA($C$5:C99),"000"))</f>
        <v/>
      </c>
      <c r="C99" s="11" t="n"/>
      <c r="D99" s="11" t="n"/>
      <c r="E99" s="11" t="n"/>
      <c r="F99" s="11" t="n"/>
      <c r="G99" s="11" t="n"/>
      <c r="H99" s="28" t="n"/>
      <c r="I99" s="28" t="n"/>
      <c r="J99" s="22" t="n"/>
      <c r="K99" s="11" t="n"/>
      <c r="L99" s="11" t="n"/>
      <c r="M99">
        <f>IFERROR(COUNTIF('5-Accidents du Travail'!C5:C104,C99),0)</f>
        <v/>
      </c>
      <c r="N99">
        <f>IFERROR(SUMIF('5-Accidents du Travail'!C5:C104,C99,'5-Accidents du Travail'!M5:M104),0)</f>
        <v/>
      </c>
    </row>
    <row r="100" ht="22" customHeight="1">
      <c r="B100" s="15">
        <f>IF(C100="","MP-"&amp;TEXT(COUNTA($C$5:C100),"000"))</f>
        <v/>
      </c>
      <c r="C100" s="13" t="n"/>
      <c r="D100" s="13" t="n"/>
      <c r="E100" s="13" t="n"/>
      <c r="F100" s="13" t="n"/>
      <c r="G100" s="13" t="n"/>
      <c r="H100" s="29" t="n"/>
      <c r="I100" s="29" t="n"/>
      <c r="J100" s="23" t="n"/>
      <c r="K100" s="13" t="n"/>
      <c r="L100" s="13" t="n"/>
      <c r="M100">
        <f>IFERROR(COUNTIF('5-Accidents du Travail'!C5:C104,C100),0)</f>
        <v/>
      </c>
      <c r="N100">
        <f>IFERROR(SUMIF('5-Accidents du Travail'!C5:C104,C100,'5-Accidents du Travail'!M5:M104),0)</f>
        <v/>
      </c>
    </row>
    <row r="101" ht="22" customHeight="1">
      <c r="B101" s="16">
        <f>IF(C101="","MP-"&amp;TEXT(COUNTA($C$5:C101),"000"))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28" t="n"/>
      <c r="J101" s="22" t="n"/>
      <c r="K101" s="11" t="n"/>
      <c r="L101" s="11" t="n"/>
      <c r="M101">
        <f>IFERROR(COUNTIF('5-Accidents du Travail'!C5:C104,C101),0)</f>
        <v/>
      </c>
      <c r="N101">
        <f>IFERROR(SUMIF('5-Accidents du Travail'!C5:C104,C101,'5-Accidents du Travail'!M5:M104),0)</f>
        <v/>
      </c>
    </row>
    <row r="102" ht="22" customHeight="1">
      <c r="B102" s="15">
        <f>IF(C102="","MP-"&amp;TEXT(COUNTA($C$5:C102),"000"))</f>
        <v/>
      </c>
      <c r="C102" s="13" t="n"/>
      <c r="D102" s="13" t="n"/>
      <c r="E102" s="13" t="n"/>
      <c r="F102" s="13" t="n"/>
      <c r="G102" s="13" t="n"/>
      <c r="H102" s="29" t="n"/>
      <c r="I102" s="29" t="n"/>
      <c r="J102" s="23" t="n"/>
      <c r="K102" s="13" t="n"/>
      <c r="L102" s="13" t="n"/>
      <c r="M102">
        <f>IFERROR(COUNTIF('5-Accidents du Travail'!C5:C104,C102),0)</f>
        <v/>
      </c>
      <c r="N102">
        <f>IFERROR(SUMIF('5-Accidents du Travail'!C5:C104,C102,'5-Accidents du Travail'!M5:M104),0)</f>
        <v/>
      </c>
    </row>
    <row r="103" ht="22" customHeight="1">
      <c r="B103" s="16">
        <f>IF(C103="","MP-"&amp;TEXT(COUNTA($C$5:C103),"000"))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28" t="n"/>
      <c r="J103" s="22" t="n"/>
      <c r="K103" s="11" t="n"/>
      <c r="L103" s="11" t="n"/>
      <c r="M103">
        <f>IFERROR(COUNTIF('5-Accidents du Travail'!C5:C104,C103),0)</f>
        <v/>
      </c>
      <c r="N103">
        <f>IFERROR(SUMIF('5-Accidents du Travail'!C5:C104,C103,'5-Accidents du Travail'!M5:M104),0)</f>
        <v/>
      </c>
    </row>
    <row r="104" ht="22" customHeight="1">
      <c r="B104" s="15">
        <f>IF(C104="","MP-"&amp;TEXT(COUNTA($C$5:C104),"000"))</f>
        <v/>
      </c>
      <c r="C104" s="13" t="n"/>
      <c r="D104" s="13" t="n"/>
      <c r="E104" s="13" t="n"/>
      <c r="F104" s="13" t="n"/>
      <c r="G104" s="13" t="n"/>
      <c r="H104" s="29" t="n"/>
      <c r="I104" s="29" t="n"/>
      <c r="J104" s="23" t="n"/>
      <c r="K104" s="13" t="n"/>
      <c r="L104" s="13" t="n"/>
      <c r="M104">
        <f>IFERROR(COUNTIF('5-Accidents du Travail'!C5:C104,C104),0)</f>
        <v/>
      </c>
      <c r="N104">
        <f>IFERROR(SUMIF('5-Accidents du Travail'!C5:C104,C104,'5-Accidents du Travail'!M5:M104),0)</f>
        <v/>
      </c>
    </row>
    <row r="105" ht="22" customHeight="1">
      <c r="B105" s="16">
        <f>IF(C105="","MP-"&amp;TEXT(COUNTA($C$5:C105),"000"))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28" t="n"/>
      <c r="J105" s="22" t="n"/>
      <c r="K105" s="11" t="n"/>
      <c r="L105" s="11" t="n"/>
      <c r="M105">
        <f>IFERROR(COUNTIF('5-Accidents du Travail'!C5:C104,C105),0)</f>
        <v/>
      </c>
      <c r="N105">
        <f>IFERROR(SUMIF('5-Accidents du Travail'!C5:C104,C105,'5-Accidents du Travail'!M5:M104),0)</f>
        <v/>
      </c>
    </row>
    <row r="106" ht="22" customHeight="1">
      <c r="B106" s="15">
        <f>IF(C106="","MP-"&amp;TEXT(COUNTA($C$5:C106),"000"))</f>
        <v/>
      </c>
      <c r="C106" s="13" t="n"/>
      <c r="D106" s="13" t="n"/>
      <c r="E106" s="13" t="n"/>
      <c r="F106" s="13" t="n"/>
      <c r="G106" s="13" t="n"/>
      <c r="H106" s="29" t="n"/>
      <c r="I106" s="29" t="n"/>
      <c r="J106" s="23" t="n"/>
      <c r="K106" s="13" t="n"/>
      <c r="L106" s="13" t="n"/>
      <c r="M106">
        <f>IFERROR(COUNTIF('5-Accidents du Travail'!C5:C104,C106),0)</f>
        <v/>
      </c>
      <c r="N106">
        <f>IFERROR(SUMIF('5-Accidents du Travail'!C5:C104,C106,'5-Accidents du Travail'!M5:M104),0)</f>
        <v/>
      </c>
    </row>
    <row r="107" ht="22" customHeight="1">
      <c r="B107" s="16">
        <f>IF(C107="","MP-"&amp;TEXT(COUNTA($C$5:C107),"000"))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28" t="n"/>
      <c r="J107" s="22" t="n"/>
      <c r="K107" s="11" t="n"/>
      <c r="L107" s="11" t="n"/>
      <c r="M107">
        <f>IFERROR(COUNTIF('5-Accidents du Travail'!C5:C104,C107),0)</f>
        <v/>
      </c>
      <c r="N107">
        <f>IFERROR(SUMIF('5-Accidents du Travail'!C5:C104,C107,'5-Accidents du Travail'!M5:M104),0)</f>
        <v/>
      </c>
    </row>
    <row r="108" ht="22" customHeight="1">
      <c r="B108" s="15">
        <f>IF(C108="","MP-"&amp;TEXT(COUNTA($C$5:C108),"000"))</f>
        <v/>
      </c>
      <c r="C108" s="13" t="n"/>
      <c r="D108" s="13" t="n"/>
      <c r="E108" s="13" t="n"/>
      <c r="F108" s="13" t="n"/>
      <c r="G108" s="13" t="n"/>
      <c r="H108" s="29" t="n"/>
      <c r="I108" s="29" t="n"/>
      <c r="J108" s="23" t="n"/>
      <c r="K108" s="13" t="n"/>
      <c r="L108" s="13" t="n"/>
      <c r="M108">
        <f>IFERROR(COUNTIF('5-Accidents du Travail'!C5:C104,C108),0)</f>
        <v/>
      </c>
      <c r="N108">
        <f>IFERROR(SUMIF('5-Accidents du Travail'!C5:C104,C108,'5-Accidents du Travail'!M5:M104),0)</f>
        <v/>
      </c>
    </row>
    <row r="109">
      <c r="M109">
        <f>IFERROR(COUNTIF('5-Accidents du Travail'!C5:C104,C109),0)</f>
        <v/>
      </c>
      <c r="N109">
        <f>IFERROR(SUMIF('5-Accidents du Travail'!C5:C104,C109,'5-Accidents du Travail'!M5:M104),0)</f>
        <v/>
      </c>
    </row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0" t="n"/>
      <c r="J110" s="21">
        <f>SUM(J5:J104)</f>
        <v/>
      </c>
      <c r="K110" s="20" t="n"/>
      <c r="L110" s="20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Maladies declarees</t>
        </is>
      </c>
      <c r="D113" s="3" t="inlineStr">
        <is>
          <t>Reconnues CNPS</t>
        </is>
      </c>
      <c r="F113" s="3" t="inlineStr">
        <is>
          <t>Total jours arret</t>
        </is>
      </c>
      <c r="H113" s="3" t="inlineStr">
        <is>
          <t>En instruction</t>
        </is>
      </c>
    </row>
    <row r="114">
      <c r="B114" s="4">
        <f>COUNTIF(B5:B104,"&lt;&gt;")</f>
        <v/>
      </c>
      <c r="D114" s="4">
        <f>COUNTIF(L5:L104,"Reconnue CNPS")</f>
        <v/>
      </c>
      <c r="F114" s="4">
        <f>SUM(J5:J104)</f>
        <v/>
      </c>
      <c r="H114" s="4">
        <f>COUNTIF(L5:L104,"En cours d'instruction")</f>
        <v/>
      </c>
    </row>
    <row r="115">
      <c r="B115" t="inlineStr">
        <is>
          <t>En cours d'instruction</t>
        </is>
      </c>
      <c r="D115">
        <f>COUNTIF(L5:L104,"En cours d'instruction")</f>
        <v/>
      </c>
    </row>
    <row r="116">
      <c r="B116" t="inlineStr">
        <is>
          <t>En contestation</t>
        </is>
      </c>
      <c r="D116">
        <f>COUNTIF(L5:L104,"En contestation")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9:B108">
    <cfRule type="expression" priority="150" dxfId="0">
      <formula>AND($C9="",$C8&lt;&gt;"")</formula>
    </cfRule>
  </conditionalFormatting>
  <conditionalFormatting sqref="C9:C108">
    <cfRule type="expression" priority="151" dxfId="0">
      <formula>AND($C9="",$C8&lt;&gt;"")</formula>
    </cfRule>
  </conditionalFormatting>
  <conditionalFormatting sqref="D9:D108">
    <cfRule type="expression" priority="152" dxfId="0">
      <formula>AND($C9="",$C8&lt;&gt;"")</formula>
    </cfRule>
  </conditionalFormatting>
  <conditionalFormatting sqref="E9:E108">
    <cfRule type="expression" priority="153" dxfId="0">
      <formula>AND($C9="",$C8&lt;&gt;"")</formula>
    </cfRule>
  </conditionalFormatting>
  <conditionalFormatting sqref="F9:F108">
    <cfRule type="expression" priority="154" dxfId="0">
      <formula>AND($C9="",$C8&lt;&gt;"")</formula>
    </cfRule>
  </conditionalFormatting>
  <conditionalFormatting sqref="G9:G108">
    <cfRule type="expression" priority="155" dxfId="0">
      <formula>AND($C9="",$C8&lt;&gt;"")</formula>
    </cfRule>
  </conditionalFormatting>
  <conditionalFormatting sqref="H9:H108">
    <cfRule type="expression" priority="156" dxfId="0">
      <formula>AND($C9="",$C8&lt;&gt;"")</formula>
    </cfRule>
  </conditionalFormatting>
  <conditionalFormatting sqref="I9:I108">
    <cfRule type="expression" priority="157" dxfId="0">
      <formula>AND($C9="",$C8&lt;&gt;"")</formula>
    </cfRule>
  </conditionalFormatting>
  <conditionalFormatting sqref="J9:J108">
    <cfRule type="expression" priority="158" dxfId="0">
      <formula>AND($C9="",$C8&lt;&gt;"")</formula>
    </cfRule>
  </conditionalFormatting>
  <conditionalFormatting sqref="K9:K108">
    <cfRule type="expression" priority="159" dxfId="0">
      <formula>AND($C9="",$C8&lt;&gt;"")</formula>
    </cfRule>
  </conditionalFormatting>
  <conditionalFormatting sqref="L9:L108">
    <cfRule type="expression" priority="160" dxfId="0">
      <formula>AND($C9="",$C8&lt;&gt;"")</formula>
    </cfRule>
  </conditionalFormatting>
  <dataValidations count="4"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8" showDropDown="0" showInputMessage="0" showErrorMessage="0" allowBlank="1" errorTitle="Erreur" error="Valeur invalide" promptTitle="Liste" prompt="Choisir dans la liste" type="list">
      <formula1>'_Lists'!$K$2:$K$8</formula1>
    </dataValidation>
    <dataValidation sqref="L5:L108" showDropDown="0" showInputMessage="0" showErrorMessage="0" allowBlank="1" errorTitle="Erreur" error="Valeur invalide" promptTitle="Liste" prompt="Choisir dans la liste" type="list">
      <formula1>'_Lists'!$L$2:$L$7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2" customWidth="1" min="5" max="5"/>
    <col width="18" customWidth="1" min="6" max="6"/>
    <col width="26" customWidth="1" min="7" max="7"/>
    <col width="14" customWidth="1" min="8" max="8"/>
    <col width="18" customWidth="1" min="9" max="9"/>
    <col width="22" customWidth="1" min="10" max="10"/>
    <col width="36" customWidth="1" min="11" max="11"/>
  </cols>
  <sheetData>
    <row r="1" ht="15" customHeight="1"/>
    <row r="2" ht="32" customHeight="1">
      <c r="B2" s="1" t="inlineStr">
        <is>
          <t>VISITES MEDICALES (#102)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Matricule</t>
        </is>
      </c>
      <c r="D4" s="10" t="inlineStr">
        <is>
          <t>Nom Employe</t>
        </is>
      </c>
      <c r="E4" s="10" t="inlineStr">
        <is>
          <t>Departement</t>
        </is>
      </c>
      <c r="F4" s="10" t="inlineStr">
        <is>
          <t>Poste</t>
        </is>
      </c>
      <c r="G4" s="10" t="inlineStr">
        <is>
          <t>Type Visite</t>
        </is>
      </c>
      <c r="H4" s="10" t="inlineStr">
        <is>
          <t>Date Visite</t>
        </is>
      </c>
      <c r="I4" s="10" t="inlineStr">
        <is>
          <t>Medecin</t>
        </is>
      </c>
      <c r="J4" s="10" t="inlineStr">
        <is>
          <t>Resultat</t>
        </is>
      </c>
      <c r="K4" s="10" t="inlineStr">
        <is>
          <t>Restrictions</t>
        </is>
      </c>
      <c r="L4" t="inlineStr">
        <is>
          <t>Nb AT</t>
        </is>
      </c>
      <c r="M4" t="inlineStr">
        <is>
          <t>Nb MP</t>
        </is>
      </c>
    </row>
    <row r="5" ht="22" customHeight="1">
      <c r="B5" s="11" t="inlineStr">
        <is>
          <t>VM-001</t>
        </is>
      </c>
      <c r="C5" s="11" t="inlineStr">
        <is>
          <t>EMP-002</t>
        </is>
      </c>
      <c r="D5" s="11">
        <f>IF(C5="","",VLOOKUP(C5,'_Données Employés'!$B$5:$H$18,4,FALSE)&amp;" "&amp;VLOOKUP(C5,'_Données Employés'!$B$5:$H$18,5,FALSE))</f>
        <v/>
      </c>
      <c r="E5" s="11">
        <f>IF(C5="","",VLOOKUP(C5,'_Données Employés'!$B$5:$H$18,6,FALSE))</f>
        <v/>
      </c>
      <c r="F5" s="11">
        <f>IF(C5="","",VLOOKUP(C5,'_Données Employés'!$B$5:$H$18,7,FALSE))</f>
        <v/>
      </c>
      <c r="G5" s="11" t="inlineStr">
        <is>
          <t>Visite d'embauche</t>
        </is>
      </c>
      <c r="H5" s="28" t="n">
        <v>45748</v>
      </c>
      <c r="I5" s="11" t="inlineStr">
        <is>
          <t>Dr. Njifenjou</t>
        </is>
      </c>
      <c r="J5" s="11" t="inlineStr">
        <is>
          <t>Apte</t>
        </is>
      </c>
      <c r="K5" s="11" t="inlineStr">
        <is>
          <t>Aucune</t>
        </is>
      </c>
      <c r="L5">
        <f>IFERROR(COUNTIF('5-Accidents du Travail'!C5:C104,C5),0)</f>
        <v/>
      </c>
      <c r="M5">
        <f>IFERROR(COUNTIF('6-Maladies Prof.'!C5:C104,C5),0)</f>
        <v/>
      </c>
    </row>
    <row r="6" ht="22" customHeight="1">
      <c r="B6" s="13" t="inlineStr">
        <is>
          <t>VM-002</t>
        </is>
      </c>
      <c r="C6" s="13" t="inlineStr">
        <is>
          <t>EMP-012</t>
        </is>
      </c>
      <c r="D6" s="13">
        <f>IF(C6="","",VLOOKUP(C6,'_Données Employés'!$B$5:$H$18,4,FALSE)&amp;" "&amp;VLOOKUP(C6,'_Données Employés'!$B$5:$H$18,5,FALSE))</f>
        <v/>
      </c>
      <c r="E6" s="13">
        <f>IF(C6="","",VLOOKUP(C6,'_Données Employés'!$B$5:$H$18,6,FALSE))</f>
        <v/>
      </c>
      <c r="F6" s="13">
        <f>IF(C6="","",VLOOKUP(C6,'_Données Employés'!$B$5:$H$18,7,FALSE))</f>
        <v/>
      </c>
      <c r="G6" s="13" t="inlineStr">
        <is>
          <t>Visite d'embauche</t>
        </is>
      </c>
      <c r="H6" s="29" t="n">
        <v>45778</v>
      </c>
      <c r="I6" s="13" t="inlineStr">
        <is>
          <t>Dr. Tchinda</t>
        </is>
      </c>
      <c r="J6" s="13" t="inlineStr">
        <is>
          <t>Apte</t>
        </is>
      </c>
      <c r="K6" s="13" t="inlineStr">
        <is>
          <t>Port de chaussures confortables</t>
        </is>
      </c>
      <c r="L6">
        <f>IFERROR(COUNTIF('5-Accidents du Travail'!C5:C104,C6),0)</f>
        <v/>
      </c>
      <c r="M6">
        <f>IFERROR(COUNTIF('6-Maladies Prof.'!C5:C104,C6),0)</f>
        <v/>
      </c>
    </row>
    <row r="7" ht="22" customHeight="1">
      <c r="B7" s="11" t="inlineStr">
        <is>
          <t>VM-003</t>
        </is>
      </c>
      <c r="C7" s="11" t="inlineStr">
        <is>
          <t>EMP-010</t>
        </is>
      </c>
      <c r="D7" s="11">
        <f>IF(C7="","",VLOOKUP(C7,'_Données Employés'!$B$5:$H$18,4,FALSE)&amp;" "&amp;VLOOKUP(C7,'_Données Employés'!$B$5:$H$18,5,FALSE))</f>
        <v/>
      </c>
      <c r="E7" s="11">
        <f>IF(C7="","",VLOOKUP(C7,'_Données Employés'!$B$5:$H$18,6,FALSE))</f>
        <v/>
      </c>
      <c r="F7" s="11">
        <f>IF(C7="","",VLOOKUP(C7,'_Données Employés'!$B$5:$H$18,7,FALSE))</f>
        <v/>
      </c>
      <c r="G7" s="11" t="inlineStr">
        <is>
          <t>Visite de reprise</t>
        </is>
      </c>
      <c r="H7" s="28" t="n">
        <v>45708</v>
      </c>
      <c r="I7" s="11" t="inlineStr">
        <is>
          <t>Dr. Njifenjou</t>
        </is>
      </c>
      <c r="J7" s="11" t="inlineStr">
        <is>
          <t>Apte avec restriction</t>
        </is>
      </c>
      <c r="K7" s="11" t="inlineStr">
        <is>
          <t>Pas port de charges &gt;10kg pendant 1 mois</t>
        </is>
      </c>
      <c r="L7">
        <f>IFERROR(COUNTIF('5-Accidents du Travail'!C5:C104,C7),0)</f>
        <v/>
      </c>
      <c r="M7">
        <f>IFERROR(COUNTIF('6-Maladies Prof.'!C5:C104,C7),0)</f>
        <v/>
      </c>
    </row>
    <row r="8" ht="22" customHeight="1">
      <c r="B8" s="13" t="inlineStr">
        <is>
          <t>VM-004</t>
        </is>
      </c>
      <c r="C8" s="13" t="inlineStr">
        <is>
          <t>EMP-009</t>
        </is>
      </c>
      <c r="D8" s="13">
        <f>IF(C8="","",VLOOKUP(C8,'_Données Employés'!$B$5:$H$18,4,FALSE)&amp;" "&amp;VLOOKUP(C8,'_Données Employés'!$B$5:$H$18,5,FALSE))</f>
        <v/>
      </c>
      <c r="E8" s="13">
        <f>IF(C8="","",VLOOKUP(C8,'_Données Employés'!$B$5:$H$18,6,FALSE))</f>
        <v/>
      </c>
      <c r="F8" s="13">
        <f>IF(C8="","",VLOOKUP(C8,'_Données Employés'!$B$5:$H$18,7,FALSE))</f>
        <v/>
      </c>
      <c r="G8" s="13" t="inlineStr">
        <is>
          <t>Visite periodique</t>
        </is>
      </c>
      <c r="H8" s="29" t="n">
        <v>45731</v>
      </c>
      <c r="I8" s="13" t="inlineStr">
        <is>
          <t>Dr. Tchinda</t>
        </is>
      </c>
      <c r="J8" s="13" t="inlineStr">
        <is>
          <t>Apte</t>
        </is>
      </c>
      <c r="K8" s="13" t="inlineStr">
        <is>
          <t>Aucune</t>
        </is>
      </c>
      <c r="L8">
        <f>IFERROR(COUNTIF('5-Accidents du Travail'!C5:C104,C8),0)</f>
        <v/>
      </c>
      <c r="M8">
        <f>IFERROR(COUNTIF('6-Maladies Prof.'!C5:C104,C8),0)</f>
        <v/>
      </c>
    </row>
    <row r="9" ht="22" customHeight="1">
      <c r="B9" s="11" t="inlineStr">
        <is>
          <t>VM-005</t>
        </is>
      </c>
      <c r="C9" s="11" t="inlineStr">
        <is>
          <t>EMP-006</t>
        </is>
      </c>
      <c r="D9" s="11">
        <f>IF(C9="","",VLOOKUP(C9,'_Données Employés'!$B$5:$H$18,4,FALSE)&amp;" "&amp;VLOOKUP(C9,'_Données Employés'!$B$5:$H$18,5,FALSE))</f>
        <v/>
      </c>
      <c r="E9" s="11">
        <f>IF(C9="","",VLOOKUP(C9,'_Données Employés'!$B$5:$H$18,6,FALSE))</f>
        <v/>
      </c>
      <c r="F9" s="11">
        <f>IF(C9="","",VLOOKUP(C9,'_Données Employés'!$B$5:$H$18,7,FALSE))</f>
        <v/>
      </c>
      <c r="G9" s="11" t="inlineStr">
        <is>
          <t>Visite a la demande employe</t>
        </is>
      </c>
      <c r="H9" s="28" t="n">
        <v>45797</v>
      </c>
      <c r="I9" s="11" t="inlineStr">
        <is>
          <t>Dr. Mbarga</t>
        </is>
      </c>
      <c r="J9" s="11" t="inlineStr">
        <is>
          <t>Inapte temporaire</t>
        </is>
      </c>
      <c r="K9" s="11" t="inlineStr">
        <is>
          <t>Arret maladie 15 jours - stress</t>
        </is>
      </c>
      <c r="L9">
        <f>IFERROR(COUNTIF('5-Accidents du Travail'!C5:C104,C9),0)</f>
        <v/>
      </c>
      <c r="M9">
        <f>IFERROR(COUNTIF('6-Maladies Prof.'!C5:C104,C9),0)</f>
        <v/>
      </c>
    </row>
    <row r="10" ht="22" customHeight="1">
      <c r="B10" s="11" t="inlineStr">
        <is>
          <t>VM-006</t>
        </is>
      </c>
      <c r="C10" s="11" t="inlineStr">
        <is>
          <t>EMP-001</t>
        </is>
      </c>
      <c r="D10" s="11">
        <f>IF(C10="","",VLOOKUP(C10,'_Données Employés'!$B$5:$H$18,4,FALSE)&amp;" "&amp;VLOOKUP(C10,'_Données Employés'!$B$5:$H$18,5,FALSE))</f>
        <v/>
      </c>
      <c r="E10" s="11">
        <f>IF(C10="","",VLOOKUP(C10,'_Données Employés'!$B$5:$H$18,6,FALSE))</f>
        <v/>
      </c>
      <c r="F10" s="11">
        <f>IF(C10="","",VLOOKUP(C10,'_Données Employés'!$B$5:$H$18,7,FALSE))</f>
        <v/>
      </c>
      <c r="G10" s="11" t="inlineStr">
        <is>
          <t>Visite periodique</t>
        </is>
      </c>
      <c r="H10" s="28" t="n"/>
      <c r="I10" s="11" t="n"/>
      <c r="J10" s="11" t="n"/>
      <c r="K10" s="11" t="n"/>
      <c r="L10">
        <f>IFERROR(COUNTIF('5-Accidents du Travail'!C5:C104,C10),0)</f>
        <v/>
      </c>
      <c r="M10">
        <f>IFERROR(COUNTIF('6-Maladies Prof.'!C5:C104,C10),0)</f>
        <v/>
      </c>
    </row>
    <row r="11" ht="22" customHeight="1">
      <c r="B11" s="11" t="inlineStr">
        <is>
          <t>VM-007</t>
        </is>
      </c>
      <c r="C11" s="11" t="inlineStr">
        <is>
          <t>EMP-002</t>
        </is>
      </c>
      <c r="D11" s="11">
        <f>IF(C11="","",VLOOKUP(C11,'_Données Employés'!$B$5:$H$18,4,FALSE)&amp;" "&amp;VLOOKUP(C11,'_Données Employés'!$B$5:$H$18,5,FALSE))</f>
        <v/>
      </c>
      <c r="E11" s="11">
        <f>IF(C11="","",VLOOKUP(C11,'_Données Employés'!$B$5:$H$18,6,FALSE))</f>
        <v/>
      </c>
      <c r="F11" s="11">
        <f>IF(C11="","",VLOOKUP(C11,'_Données Employés'!$B$5:$H$18,7,FALSE))</f>
        <v/>
      </c>
      <c r="G11" s="11" t="inlineStr">
        <is>
          <t>Visite periodique</t>
        </is>
      </c>
      <c r="H11" s="28" t="n"/>
      <c r="I11" s="11" t="n"/>
      <c r="J11" s="11" t="n"/>
      <c r="K11" s="11" t="n"/>
      <c r="L11">
        <f>IFERROR(COUNTIF('5-Accidents du Travail'!C5:C104,C11),0)</f>
        <v/>
      </c>
      <c r="M11">
        <f>IFERROR(COUNTIF('6-Maladies Prof.'!C5:C104,C11),0)</f>
        <v/>
      </c>
    </row>
    <row r="12" ht="22" customHeight="1">
      <c r="B12" s="11" t="inlineStr">
        <is>
          <t>VM-008</t>
        </is>
      </c>
      <c r="C12" s="11" t="inlineStr">
        <is>
          <t>EMP-003</t>
        </is>
      </c>
      <c r="D12" s="11">
        <f>IF(C12="","",VLOOKUP(C12,'_Données Employés'!$B$5:$H$18,4,FALSE)&amp;" "&amp;VLOOKUP(C12,'_Données Employés'!$B$5:$H$18,5,FALSE))</f>
        <v/>
      </c>
      <c r="E12" s="11">
        <f>IF(C12="","",VLOOKUP(C12,'_Données Employés'!$B$5:$H$18,6,FALSE))</f>
        <v/>
      </c>
      <c r="F12" s="11">
        <f>IF(C12="","",VLOOKUP(C12,'_Données Employés'!$B$5:$H$18,7,FALSE))</f>
        <v/>
      </c>
      <c r="G12" s="11" t="inlineStr">
        <is>
          <t>Visite periodique</t>
        </is>
      </c>
      <c r="H12" s="28" t="n"/>
      <c r="I12" s="11" t="n"/>
      <c r="J12" s="11" t="n"/>
      <c r="K12" s="11" t="n"/>
      <c r="L12">
        <f>IFERROR(COUNTIF('5-Accidents du Travail'!C5:C104,C12),0)</f>
        <v/>
      </c>
      <c r="M12">
        <f>IFERROR(COUNTIF('6-Maladies Prof.'!C5:C104,C12),0)</f>
        <v/>
      </c>
    </row>
    <row r="13" ht="22" customHeight="1">
      <c r="B13" s="11" t="inlineStr">
        <is>
          <t>VM-009</t>
        </is>
      </c>
      <c r="C13" s="11" t="inlineStr">
        <is>
          <t>EMP-004</t>
        </is>
      </c>
      <c r="D13" s="11">
        <f>IF(C13="","",VLOOKUP(C13,'_Données Employés'!$B$5:$H$18,4,FALSE)&amp;" "&amp;VLOOKUP(C13,'_Données Employés'!$B$5:$H$18,5,FALSE))</f>
        <v/>
      </c>
      <c r="E13" s="11">
        <f>IF(C13="","",VLOOKUP(C13,'_Données Employés'!$B$5:$H$18,6,FALSE))</f>
        <v/>
      </c>
      <c r="F13" s="11">
        <f>IF(C13="","",VLOOKUP(C13,'_Données Employés'!$B$5:$H$18,7,FALSE))</f>
        <v/>
      </c>
      <c r="G13" s="11" t="inlineStr">
        <is>
          <t>Visite periodique</t>
        </is>
      </c>
      <c r="H13" s="28" t="n"/>
      <c r="I13" s="11" t="n"/>
      <c r="J13" s="11" t="n"/>
      <c r="K13" s="11" t="n"/>
      <c r="L13">
        <f>IFERROR(COUNTIF('5-Accidents du Travail'!C5:C104,C13),0)</f>
        <v/>
      </c>
      <c r="M13">
        <f>IFERROR(COUNTIF('6-Maladies Prof.'!C5:C104,C13),0)</f>
        <v/>
      </c>
    </row>
    <row r="14" ht="22" customHeight="1">
      <c r="B14" s="11" t="inlineStr">
        <is>
          <t>VM-010</t>
        </is>
      </c>
      <c r="C14" s="11" t="inlineStr">
        <is>
          <t>EMP-005</t>
        </is>
      </c>
      <c r="D14" s="11">
        <f>IF(C14="","",VLOOKUP(C14,'_Données Employés'!$B$5:$H$18,4,FALSE)&amp;" "&amp;VLOOKUP(C14,'_Données Employés'!$B$5:$H$18,5,FALSE))</f>
        <v/>
      </c>
      <c r="E14" s="11">
        <f>IF(C14="","",VLOOKUP(C14,'_Données Employés'!$B$5:$H$18,6,FALSE))</f>
        <v/>
      </c>
      <c r="F14" s="11">
        <f>IF(C14="","",VLOOKUP(C14,'_Données Employés'!$B$5:$H$18,7,FALSE))</f>
        <v/>
      </c>
      <c r="G14" s="11" t="inlineStr">
        <is>
          <t>Visite periodique</t>
        </is>
      </c>
      <c r="H14" s="28" t="n"/>
      <c r="I14" s="11" t="n"/>
      <c r="J14" s="11" t="n"/>
      <c r="K14" s="11" t="n"/>
      <c r="L14">
        <f>IFERROR(COUNTIF('5-Accidents du Travail'!C5:C104,C14),0)</f>
        <v/>
      </c>
      <c r="M14">
        <f>IFERROR(COUNTIF('6-Maladies Prof.'!C5:C104,C14),0)</f>
        <v/>
      </c>
    </row>
    <row r="15" ht="22" customHeight="1">
      <c r="B15" s="11" t="inlineStr">
        <is>
          <t>VM-011</t>
        </is>
      </c>
      <c r="C15" s="11" t="inlineStr">
        <is>
          <t>EMP-006</t>
        </is>
      </c>
      <c r="D15" s="11">
        <f>IF(C15="","",VLOOKUP(C15,'_Données Employés'!$B$5:$H$18,4,FALSE)&amp;" "&amp;VLOOKUP(C15,'_Données Employés'!$B$5:$H$18,5,FALSE))</f>
        <v/>
      </c>
      <c r="E15" s="11">
        <f>IF(C15="","",VLOOKUP(C15,'_Données Employés'!$B$5:$H$18,6,FALSE))</f>
        <v/>
      </c>
      <c r="F15" s="11">
        <f>IF(C15="","",VLOOKUP(C15,'_Données Employés'!$B$5:$H$18,7,FALSE))</f>
        <v/>
      </c>
      <c r="G15" s="11" t="inlineStr">
        <is>
          <t>Visite periodique</t>
        </is>
      </c>
      <c r="H15" s="28" t="n"/>
      <c r="I15" s="11" t="n"/>
      <c r="J15" s="11" t="n"/>
      <c r="K15" s="11" t="n"/>
      <c r="L15">
        <f>IFERROR(COUNTIF('5-Accidents du Travail'!C5:C104,C15),0)</f>
        <v/>
      </c>
      <c r="M15">
        <f>IFERROR(COUNTIF('6-Maladies Prof.'!C5:C104,C15),0)</f>
        <v/>
      </c>
    </row>
    <row r="16" ht="22" customHeight="1">
      <c r="B16" s="11" t="inlineStr">
        <is>
          <t>VM-012</t>
        </is>
      </c>
      <c r="C16" s="11" t="inlineStr">
        <is>
          <t>EMP-007</t>
        </is>
      </c>
      <c r="D16" s="11">
        <f>IF(C16="","",VLOOKUP(C16,'_Données Employés'!$B$5:$H$18,4,FALSE)&amp;" "&amp;VLOOKUP(C16,'_Données Employés'!$B$5:$H$18,5,FALSE))</f>
        <v/>
      </c>
      <c r="E16" s="11">
        <f>IF(C16="","",VLOOKUP(C16,'_Données Employés'!$B$5:$H$18,6,FALSE))</f>
        <v/>
      </c>
      <c r="F16" s="11">
        <f>IF(C16="","",VLOOKUP(C16,'_Données Employés'!$B$5:$H$18,7,FALSE))</f>
        <v/>
      </c>
      <c r="G16" s="11" t="inlineStr">
        <is>
          <t>Visite periodique</t>
        </is>
      </c>
      <c r="H16" s="28" t="n"/>
      <c r="I16" s="11" t="n"/>
      <c r="J16" s="11" t="n"/>
      <c r="K16" s="11" t="n"/>
      <c r="L16">
        <f>IFERROR(COUNTIF('5-Accidents du Travail'!C5:C104,C16),0)</f>
        <v/>
      </c>
      <c r="M16">
        <f>IFERROR(COUNTIF('6-Maladies Prof.'!C5:C104,C16),0)</f>
        <v/>
      </c>
    </row>
    <row r="17" ht="22" customHeight="1">
      <c r="B17" s="11" t="inlineStr">
        <is>
          <t>VM-013</t>
        </is>
      </c>
      <c r="C17" s="11" t="inlineStr">
        <is>
          <t>EMP-008</t>
        </is>
      </c>
      <c r="D17" s="11">
        <f>IF(C17="","",VLOOKUP(C17,'_Données Employés'!$B$5:$H$18,4,FALSE)&amp;" "&amp;VLOOKUP(C17,'_Données Employés'!$B$5:$H$18,5,FALSE))</f>
        <v/>
      </c>
      <c r="E17" s="11">
        <f>IF(C17="","",VLOOKUP(C17,'_Données Employés'!$B$5:$H$18,6,FALSE))</f>
        <v/>
      </c>
      <c r="F17" s="11">
        <f>IF(C17="","",VLOOKUP(C17,'_Données Employés'!$B$5:$H$18,7,FALSE))</f>
        <v/>
      </c>
      <c r="G17" s="11" t="inlineStr">
        <is>
          <t>Visite periodique</t>
        </is>
      </c>
      <c r="H17" s="28" t="n"/>
      <c r="I17" s="11" t="n"/>
      <c r="J17" s="11" t="n"/>
      <c r="K17" s="11" t="n"/>
      <c r="L17">
        <f>IFERROR(COUNTIF('5-Accidents du Travail'!C5:C104,C17),0)</f>
        <v/>
      </c>
      <c r="M17">
        <f>IFERROR(COUNTIF('6-Maladies Prof.'!C5:C104,C17),0)</f>
        <v/>
      </c>
    </row>
    <row r="18" ht="22" customHeight="1">
      <c r="B18" s="11" t="inlineStr">
        <is>
          <t>VM-014</t>
        </is>
      </c>
      <c r="C18" s="11" t="inlineStr">
        <is>
          <t>EMP-011</t>
        </is>
      </c>
      <c r="D18" s="11">
        <f>IF(C18="","",VLOOKUP(C18,'_Données Employés'!$B$5:$H$18,4,FALSE)&amp;" "&amp;VLOOKUP(C18,'_Données Employés'!$B$5:$H$18,5,FALSE))</f>
        <v/>
      </c>
      <c r="E18" s="11">
        <f>IF(C18="","",VLOOKUP(C18,'_Données Employés'!$B$5:$H$18,6,FALSE))</f>
        <v/>
      </c>
      <c r="F18" s="11">
        <f>IF(C18="","",VLOOKUP(C18,'_Données Employés'!$B$5:$H$18,7,FALSE))</f>
        <v/>
      </c>
      <c r="G18" s="11" t="inlineStr">
        <is>
          <t>Visite periodique</t>
        </is>
      </c>
      <c r="H18" s="28" t="n"/>
      <c r="I18" s="11" t="n"/>
      <c r="J18" s="11" t="n"/>
      <c r="K18" s="11" t="n"/>
      <c r="L18">
        <f>IFERROR(COUNTIF('5-Accidents du Travail'!C5:C104,C18),0)</f>
        <v/>
      </c>
      <c r="M18">
        <f>IFERROR(COUNTIF('6-Maladies Prof.'!C5:C104,C18),0)</f>
        <v/>
      </c>
    </row>
    <row r="19" ht="22" customHeight="1">
      <c r="B19" s="11" t="inlineStr">
        <is>
          <t>VM-015</t>
        </is>
      </c>
      <c r="C19" s="11" t="inlineStr">
        <is>
          <t>EMP-012</t>
        </is>
      </c>
      <c r="D19" s="11">
        <f>IF(C19="","",VLOOKUP(C19,'_Données Employés'!$B$5:$H$18,4,FALSE)&amp;" "&amp;VLOOKUP(C19,'_Données Employés'!$B$5:$H$18,5,FALSE))</f>
        <v/>
      </c>
      <c r="E19" s="11">
        <f>IF(C19="","",VLOOKUP(C19,'_Données Employés'!$B$5:$H$18,6,FALSE))</f>
        <v/>
      </c>
      <c r="F19" s="11">
        <f>IF(C19="","",VLOOKUP(C19,'_Données Employés'!$B$5:$H$18,7,FALSE))</f>
        <v/>
      </c>
      <c r="G19" s="11" t="inlineStr">
        <is>
          <t>Visite periodique</t>
        </is>
      </c>
      <c r="H19" s="28" t="n"/>
      <c r="I19" s="11" t="n"/>
      <c r="J19" s="11" t="n"/>
      <c r="K19" s="11" t="n"/>
      <c r="L19">
        <f>IFERROR(COUNTIF('5-Accidents du Travail'!C5:C104,C19),0)</f>
        <v/>
      </c>
      <c r="M19">
        <f>IFERROR(COUNTIF('6-Maladies Prof.'!C5:C104,C19),0)</f>
        <v/>
      </c>
    </row>
    <row r="20" ht="22" customHeight="1">
      <c r="B20" s="11" t="inlineStr">
        <is>
          <t>VM-016</t>
        </is>
      </c>
      <c r="C20" s="11" t="inlineStr">
        <is>
          <t>EMP-028</t>
        </is>
      </c>
      <c r="D20" s="11">
        <f>IF(C20="","",VLOOKUP(C20,'_Données Employés'!$B$5:$H$18,4,FALSE)&amp;" "&amp;VLOOKUP(C20,'_Données Employés'!$B$5:$H$18,5,FALSE))</f>
        <v/>
      </c>
      <c r="E20" s="11">
        <f>IF(C20="","",VLOOKUP(C20,'_Données Employés'!$B$5:$H$18,6,FALSE))</f>
        <v/>
      </c>
      <c r="F20" s="11">
        <f>IF(C20="","",VLOOKUP(C20,'_Données Employés'!$B$5:$H$18,7,FALSE))</f>
        <v/>
      </c>
      <c r="G20" s="11" t="inlineStr">
        <is>
          <t>Visite periodique</t>
        </is>
      </c>
      <c r="H20" s="28" t="n"/>
      <c r="I20" s="11" t="n"/>
      <c r="J20" s="11" t="n"/>
      <c r="K20" s="11" t="n"/>
      <c r="L20">
        <f>IFERROR(COUNTIF('5-Accidents du Travail'!C5:C104,C20),0)</f>
        <v/>
      </c>
      <c r="M20">
        <f>IFERROR(COUNTIF('6-Maladies Prof.'!C5:C104,C20),0)</f>
        <v/>
      </c>
    </row>
    <row r="21" ht="22" customHeight="1">
      <c r="B21" s="11" t="inlineStr">
        <is>
          <t>VM-017</t>
        </is>
      </c>
      <c r="C21" s="11" t="inlineStr">
        <is>
          <t>EMP-029</t>
        </is>
      </c>
      <c r="D21" s="11">
        <f>IF(C21="","",VLOOKUP(C21,'_Données Employés'!$B$5:$H$18,4,FALSE)&amp;" "&amp;VLOOKUP(C21,'_Données Employés'!$B$5:$H$18,5,FALSE))</f>
        <v/>
      </c>
      <c r="E21" s="11">
        <f>IF(C21="","",VLOOKUP(C21,'_Données Employés'!$B$5:$H$18,6,FALSE))</f>
        <v/>
      </c>
      <c r="F21" s="11">
        <f>IF(C21="","",VLOOKUP(C21,'_Données Employés'!$B$5:$H$18,7,FALSE))</f>
        <v/>
      </c>
      <c r="G21" s="11" t="inlineStr">
        <is>
          <t>Visite periodique</t>
        </is>
      </c>
      <c r="H21" s="28" t="n"/>
      <c r="I21" s="11" t="n"/>
      <c r="J21" s="11" t="n"/>
      <c r="K21" s="11" t="n"/>
      <c r="L21">
        <f>IFERROR(COUNTIF('5-Accidents du Travail'!C5:C104,C21),0)</f>
        <v/>
      </c>
      <c r="M21">
        <f>IFERROR(COUNTIF('6-Maladies Prof.'!C5:C104,C21),0)</f>
        <v/>
      </c>
    </row>
    <row r="22" ht="22" customHeight="1">
      <c r="B22" s="15">
        <f>IF(C22="","VM-"&amp;TEXT(COUNTA($C$5:C22),"000"))</f>
        <v/>
      </c>
      <c r="C22" s="13" t="n"/>
      <c r="D22" s="13" t="n"/>
      <c r="E22" s="13" t="n"/>
      <c r="F22" s="13" t="n"/>
      <c r="G22" s="13" t="n"/>
      <c r="H22" s="29" t="n"/>
      <c r="I22" s="13" t="n"/>
      <c r="J22" s="13" t="n"/>
      <c r="K22" s="13" t="n"/>
      <c r="L22">
        <f>IFERROR(COUNTIF('5-Accidents du Travail'!C5:C104,C22),0)</f>
        <v/>
      </c>
      <c r="M22">
        <f>IFERROR(COUNTIF('6-Maladies Prof.'!C5:C104,C22),0)</f>
        <v/>
      </c>
    </row>
    <row r="23" ht="22" customHeight="1">
      <c r="B23" s="16">
        <f>IF(C23="","VM-"&amp;TEXT(COUNTA($C$5:C23),"000"))</f>
        <v/>
      </c>
      <c r="C23" s="11" t="n"/>
      <c r="D23" s="11" t="n"/>
      <c r="E23" s="11" t="n"/>
      <c r="F23" s="11" t="n"/>
      <c r="G23" s="11" t="n"/>
      <c r="H23" s="28" t="n"/>
      <c r="I23" s="11" t="n"/>
      <c r="J23" s="11" t="n"/>
      <c r="K23" s="11" t="n"/>
      <c r="L23">
        <f>IFERROR(COUNTIF('5-Accidents du Travail'!C5:C104,C23),0)</f>
        <v/>
      </c>
      <c r="M23">
        <f>IFERROR(COUNTIF('6-Maladies Prof.'!C5:C104,C23),0)</f>
        <v/>
      </c>
    </row>
    <row r="24" ht="22" customHeight="1">
      <c r="B24" s="15">
        <f>IF(C24="","VM-"&amp;TEXT(COUNTA($C$5:C24),"000"))</f>
        <v/>
      </c>
      <c r="C24" s="13" t="n"/>
      <c r="D24" s="13" t="n"/>
      <c r="E24" s="13" t="n"/>
      <c r="F24" s="13" t="n"/>
      <c r="G24" s="13" t="n"/>
      <c r="H24" s="29" t="n"/>
      <c r="I24" s="13" t="n"/>
      <c r="J24" s="13" t="n"/>
      <c r="K24" s="13" t="n"/>
      <c r="L24">
        <f>IFERROR(COUNTIF('5-Accidents du Travail'!C5:C104,C24),0)</f>
        <v/>
      </c>
      <c r="M24">
        <f>IFERROR(COUNTIF('6-Maladies Prof.'!C5:C104,C24),0)</f>
        <v/>
      </c>
    </row>
    <row r="25" ht="22" customHeight="1">
      <c r="B25" s="16">
        <f>IF(C25="","VM-"&amp;TEXT(COUNTA($C$5:C25),"000"))</f>
        <v/>
      </c>
      <c r="C25" s="11" t="n"/>
      <c r="D25" s="11" t="n"/>
      <c r="E25" s="11" t="n"/>
      <c r="F25" s="11" t="n"/>
      <c r="G25" s="11" t="n"/>
      <c r="H25" s="28" t="n"/>
      <c r="I25" s="11" t="n"/>
      <c r="J25" s="11" t="n"/>
      <c r="K25" s="11" t="n"/>
      <c r="L25">
        <f>IFERROR(COUNTIF('5-Accidents du Travail'!C5:C104,C25),0)</f>
        <v/>
      </c>
      <c r="M25">
        <f>IFERROR(COUNTIF('6-Maladies Prof.'!C5:C104,C25),0)</f>
        <v/>
      </c>
    </row>
    <row r="26" ht="22" customHeight="1">
      <c r="B26" s="15">
        <f>IF(C26="","VM-"&amp;TEXT(COUNTA($C$5:C26),"000"))</f>
        <v/>
      </c>
      <c r="C26" s="13" t="n"/>
      <c r="D26" s="13" t="n"/>
      <c r="E26" s="13" t="n"/>
      <c r="F26" s="13" t="n"/>
      <c r="G26" s="13" t="n"/>
      <c r="H26" s="29" t="n"/>
      <c r="I26" s="13" t="n"/>
      <c r="J26" s="13" t="n"/>
      <c r="K26" s="13" t="n"/>
      <c r="L26">
        <f>IFERROR(COUNTIF('5-Accidents du Travail'!C5:C104,C26),0)</f>
        <v/>
      </c>
      <c r="M26">
        <f>IFERROR(COUNTIF('6-Maladies Prof.'!C5:C104,C26),0)</f>
        <v/>
      </c>
    </row>
    <row r="27" ht="22" customHeight="1">
      <c r="B27" s="16">
        <f>IF(C27="","VM-"&amp;TEXT(COUNTA($C$5:C27),"000"))</f>
        <v/>
      </c>
      <c r="C27" s="11" t="n"/>
      <c r="D27" s="11" t="n"/>
      <c r="E27" s="11" t="n"/>
      <c r="F27" s="11" t="n"/>
      <c r="G27" s="11" t="n"/>
      <c r="H27" s="28" t="n"/>
      <c r="I27" s="11" t="n"/>
      <c r="J27" s="11" t="n"/>
      <c r="K27" s="11" t="n"/>
      <c r="L27">
        <f>IFERROR(COUNTIF('5-Accidents du Travail'!C5:C104,C27),0)</f>
        <v/>
      </c>
      <c r="M27">
        <f>IFERROR(COUNTIF('6-Maladies Prof.'!C5:C104,C27),0)</f>
        <v/>
      </c>
    </row>
    <row r="28" ht="22" customHeight="1">
      <c r="B28" s="15">
        <f>IF(C28="","VM-"&amp;TEXT(COUNTA($C$5:C28),"000"))</f>
        <v/>
      </c>
      <c r="C28" s="13" t="n"/>
      <c r="D28" s="13" t="n"/>
      <c r="E28" s="13" t="n"/>
      <c r="F28" s="13" t="n"/>
      <c r="G28" s="13" t="n"/>
      <c r="H28" s="29" t="n"/>
      <c r="I28" s="13" t="n"/>
      <c r="J28" s="13" t="n"/>
      <c r="K28" s="13" t="n"/>
      <c r="L28">
        <f>IFERROR(COUNTIF('5-Accidents du Travail'!C5:C104,C28),0)</f>
        <v/>
      </c>
      <c r="M28">
        <f>IFERROR(COUNTIF('6-Maladies Prof.'!C5:C104,C28),0)</f>
        <v/>
      </c>
    </row>
    <row r="29" ht="22" customHeight="1">
      <c r="B29" s="16">
        <f>IF(C29="","VM-"&amp;TEXT(COUNTA($C$5:C29),"000"))</f>
        <v/>
      </c>
      <c r="C29" s="11" t="n"/>
      <c r="D29" s="11" t="n"/>
      <c r="E29" s="11" t="n"/>
      <c r="F29" s="11" t="n"/>
      <c r="G29" s="11" t="n"/>
      <c r="H29" s="28" t="n"/>
      <c r="I29" s="11" t="n"/>
      <c r="J29" s="11" t="n"/>
      <c r="K29" s="11" t="n"/>
      <c r="L29">
        <f>IFERROR(COUNTIF('5-Accidents du Travail'!C5:C104,C29),0)</f>
        <v/>
      </c>
      <c r="M29">
        <f>IFERROR(COUNTIF('6-Maladies Prof.'!C5:C104,C29),0)</f>
        <v/>
      </c>
    </row>
    <row r="30" ht="22" customHeight="1">
      <c r="B30" s="15">
        <f>IF(C30="","VM-"&amp;TEXT(COUNTA($C$5:C30),"000"))</f>
        <v/>
      </c>
      <c r="C30" s="13" t="n"/>
      <c r="D30" s="13" t="n"/>
      <c r="E30" s="13" t="n"/>
      <c r="F30" s="13" t="n"/>
      <c r="G30" s="13" t="n"/>
      <c r="H30" s="29" t="n"/>
      <c r="I30" s="13" t="n"/>
      <c r="J30" s="13" t="n"/>
      <c r="K30" s="13" t="n"/>
      <c r="L30">
        <f>IFERROR(COUNTIF('5-Accidents du Travail'!C5:C104,C30),0)</f>
        <v/>
      </c>
      <c r="M30">
        <f>IFERROR(COUNTIF('6-Maladies Prof.'!C5:C104,C30),0)</f>
        <v/>
      </c>
    </row>
    <row r="31" ht="22" customHeight="1">
      <c r="B31" s="16">
        <f>IF(C31="","VM-"&amp;TEXT(COUNTA($C$5:C31),"000"))</f>
        <v/>
      </c>
      <c r="C31" s="11" t="n"/>
      <c r="D31" s="11" t="n"/>
      <c r="E31" s="11" t="n"/>
      <c r="F31" s="11" t="n"/>
      <c r="G31" s="11" t="n"/>
      <c r="H31" s="28" t="n"/>
      <c r="I31" s="11" t="n"/>
      <c r="J31" s="11" t="n"/>
      <c r="K31" s="11" t="n"/>
      <c r="L31">
        <f>IFERROR(COUNTIF('5-Accidents du Travail'!C5:C104,C31),0)</f>
        <v/>
      </c>
      <c r="M31">
        <f>IFERROR(COUNTIF('6-Maladies Prof.'!C5:C104,C31),0)</f>
        <v/>
      </c>
    </row>
    <row r="32" ht="22" customHeight="1">
      <c r="B32" s="15">
        <f>IF(C32="","VM-"&amp;TEXT(COUNTA($C$5:C32),"000"))</f>
        <v/>
      </c>
      <c r="C32" s="13" t="n"/>
      <c r="D32" s="13" t="n"/>
      <c r="E32" s="13" t="n"/>
      <c r="F32" s="13" t="n"/>
      <c r="G32" s="13" t="n"/>
      <c r="H32" s="29" t="n"/>
      <c r="I32" s="13" t="n"/>
      <c r="J32" s="13" t="n"/>
      <c r="K32" s="13" t="n"/>
      <c r="L32">
        <f>IFERROR(COUNTIF('5-Accidents du Travail'!C5:C104,C32),0)</f>
        <v/>
      </c>
      <c r="M32">
        <f>IFERROR(COUNTIF('6-Maladies Prof.'!C5:C104,C32),0)</f>
        <v/>
      </c>
    </row>
    <row r="33" ht="22" customHeight="1">
      <c r="B33" s="16">
        <f>IF(C33="","VM-"&amp;TEXT(COUNTA($C$5:C33),"000"))</f>
        <v/>
      </c>
      <c r="C33" s="11" t="n"/>
      <c r="D33" s="11" t="n"/>
      <c r="E33" s="11" t="n"/>
      <c r="F33" s="11" t="n"/>
      <c r="G33" s="11" t="n"/>
      <c r="H33" s="28" t="n"/>
      <c r="I33" s="11" t="n"/>
      <c r="J33" s="11" t="n"/>
      <c r="K33" s="11" t="n"/>
      <c r="L33">
        <f>IFERROR(COUNTIF('5-Accidents du Travail'!C5:C104,C33),0)</f>
        <v/>
      </c>
      <c r="M33">
        <f>IFERROR(COUNTIF('6-Maladies Prof.'!C5:C104,C33),0)</f>
        <v/>
      </c>
    </row>
    <row r="34" ht="22" customHeight="1">
      <c r="B34" s="15">
        <f>IF(C34="","VM-"&amp;TEXT(COUNTA($C$5:C34),"000"))</f>
        <v/>
      </c>
      <c r="C34" s="13" t="n"/>
      <c r="D34" s="13" t="n"/>
      <c r="E34" s="13" t="n"/>
      <c r="F34" s="13" t="n"/>
      <c r="G34" s="13" t="n"/>
      <c r="H34" s="29" t="n"/>
      <c r="I34" s="13" t="n"/>
      <c r="J34" s="13" t="n"/>
      <c r="K34" s="13" t="n"/>
      <c r="L34">
        <f>IFERROR(COUNTIF('5-Accidents du Travail'!C5:C104,C34),0)</f>
        <v/>
      </c>
      <c r="M34">
        <f>IFERROR(COUNTIF('6-Maladies Prof.'!C5:C104,C34),0)</f>
        <v/>
      </c>
    </row>
    <row r="35" ht="22" customHeight="1">
      <c r="B35" s="16">
        <f>IF(C35="","VM-"&amp;TEXT(COUNTA($C$5:C35),"000"))</f>
        <v/>
      </c>
      <c r="C35" s="11" t="n"/>
      <c r="D35" s="11" t="n"/>
      <c r="E35" s="11" t="n"/>
      <c r="F35" s="11" t="n"/>
      <c r="G35" s="11" t="n"/>
      <c r="H35" s="28" t="n"/>
      <c r="I35" s="11" t="n"/>
      <c r="J35" s="11" t="n"/>
      <c r="K35" s="11" t="n"/>
      <c r="L35">
        <f>IFERROR(COUNTIF('5-Accidents du Travail'!C5:C104,C35),0)</f>
        <v/>
      </c>
      <c r="M35">
        <f>IFERROR(COUNTIF('6-Maladies Prof.'!C5:C104,C35),0)</f>
        <v/>
      </c>
    </row>
    <row r="36" ht="22" customHeight="1">
      <c r="B36" s="15">
        <f>IF(C36="","VM-"&amp;TEXT(COUNTA($C$5:C36),"000"))</f>
        <v/>
      </c>
      <c r="C36" s="13" t="n"/>
      <c r="D36" s="13" t="n"/>
      <c r="E36" s="13" t="n"/>
      <c r="F36" s="13" t="n"/>
      <c r="G36" s="13" t="n"/>
      <c r="H36" s="29" t="n"/>
      <c r="I36" s="13" t="n"/>
      <c r="J36" s="13" t="n"/>
      <c r="K36" s="13" t="n"/>
      <c r="L36">
        <f>IFERROR(COUNTIF('5-Accidents du Travail'!C5:C104,C36),0)</f>
        <v/>
      </c>
      <c r="M36">
        <f>IFERROR(COUNTIF('6-Maladies Prof.'!C5:C104,C36),0)</f>
        <v/>
      </c>
    </row>
    <row r="37" ht="22" customHeight="1">
      <c r="B37" s="16">
        <f>IF(C37="","VM-"&amp;TEXT(COUNTA($C$5:C37),"000"))</f>
        <v/>
      </c>
      <c r="C37" s="11" t="n"/>
      <c r="D37" s="11" t="n"/>
      <c r="E37" s="11" t="n"/>
      <c r="F37" s="11" t="n"/>
      <c r="G37" s="11" t="n"/>
      <c r="H37" s="28" t="n"/>
      <c r="I37" s="11" t="n"/>
      <c r="J37" s="11" t="n"/>
      <c r="K37" s="11" t="n"/>
      <c r="L37">
        <f>IFERROR(COUNTIF('5-Accidents du Travail'!C5:C104,C37),0)</f>
        <v/>
      </c>
      <c r="M37">
        <f>IFERROR(COUNTIF('6-Maladies Prof.'!C5:C104,C37),0)</f>
        <v/>
      </c>
    </row>
    <row r="38" ht="22" customHeight="1">
      <c r="B38" s="15">
        <f>IF(C38="","VM-"&amp;TEXT(COUNTA($C$5:C38),"000"))</f>
        <v/>
      </c>
      <c r="C38" s="13" t="n"/>
      <c r="D38" s="13" t="n"/>
      <c r="E38" s="13" t="n"/>
      <c r="F38" s="13" t="n"/>
      <c r="G38" s="13" t="n"/>
      <c r="H38" s="29" t="n"/>
      <c r="I38" s="13" t="n"/>
      <c r="J38" s="13" t="n"/>
      <c r="K38" s="13" t="n"/>
      <c r="L38">
        <f>IFERROR(COUNTIF('5-Accidents du Travail'!C5:C104,C38),0)</f>
        <v/>
      </c>
      <c r="M38">
        <f>IFERROR(COUNTIF('6-Maladies Prof.'!C5:C104,C38),0)</f>
        <v/>
      </c>
    </row>
    <row r="39" ht="22" customHeight="1">
      <c r="B39" s="16">
        <f>IF(C39="","VM-"&amp;TEXT(COUNTA($C$5:C39),"000"))</f>
        <v/>
      </c>
      <c r="C39" s="11" t="n"/>
      <c r="D39" s="11" t="n"/>
      <c r="E39" s="11" t="n"/>
      <c r="F39" s="11" t="n"/>
      <c r="G39" s="11" t="n"/>
      <c r="H39" s="28" t="n"/>
      <c r="I39" s="11" t="n"/>
      <c r="J39" s="11" t="n"/>
      <c r="K39" s="11" t="n"/>
      <c r="L39">
        <f>IFERROR(COUNTIF('5-Accidents du Travail'!C5:C104,C39),0)</f>
        <v/>
      </c>
      <c r="M39">
        <f>IFERROR(COUNTIF('6-Maladies Prof.'!C5:C104,C39),0)</f>
        <v/>
      </c>
    </row>
    <row r="40" ht="22" customHeight="1">
      <c r="B40" s="15">
        <f>IF(C40="","VM-"&amp;TEXT(COUNTA($C$5:C40),"000"))</f>
        <v/>
      </c>
      <c r="C40" s="13" t="n"/>
      <c r="D40" s="13" t="n"/>
      <c r="E40" s="13" t="n"/>
      <c r="F40" s="13" t="n"/>
      <c r="G40" s="13" t="n"/>
      <c r="H40" s="29" t="n"/>
      <c r="I40" s="13" t="n"/>
      <c r="J40" s="13" t="n"/>
      <c r="K40" s="13" t="n"/>
      <c r="L40">
        <f>IFERROR(COUNTIF('5-Accidents du Travail'!C5:C104,C40),0)</f>
        <v/>
      </c>
      <c r="M40">
        <f>IFERROR(COUNTIF('6-Maladies Prof.'!C5:C104,C40),0)</f>
        <v/>
      </c>
    </row>
    <row r="41" ht="22" customHeight="1">
      <c r="B41" s="16">
        <f>IF(C41="","VM-"&amp;TEXT(COUNTA($C$5:C41),"000"))</f>
        <v/>
      </c>
      <c r="C41" s="11" t="n"/>
      <c r="D41" s="11" t="n"/>
      <c r="E41" s="11" t="n"/>
      <c r="F41" s="11" t="n"/>
      <c r="G41" s="11" t="n"/>
      <c r="H41" s="28" t="n"/>
      <c r="I41" s="11" t="n"/>
      <c r="J41" s="11" t="n"/>
      <c r="K41" s="11" t="n"/>
      <c r="L41">
        <f>IFERROR(COUNTIF('5-Accidents du Travail'!C5:C104,C41),0)</f>
        <v/>
      </c>
      <c r="M41">
        <f>IFERROR(COUNTIF('6-Maladies Prof.'!C5:C104,C41),0)</f>
        <v/>
      </c>
    </row>
    <row r="42" ht="22" customHeight="1">
      <c r="B42" s="15">
        <f>IF(C42="","VM-"&amp;TEXT(COUNTA($C$5:C42),"000"))</f>
        <v/>
      </c>
      <c r="C42" s="13" t="n"/>
      <c r="D42" s="13" t="n"/>
      <c r="E42" s="13" t="n"/>
      <c r="F42" s="13" t="n"/>
      <c r="G42" s="13" t="n"/>
      <c r="H42" s="29" t="n"/>
      <c r="I42" s="13" t="n"/>
      <c r="J42" s="13" t="n"/>
      <c r="K42" s="13" t="n"/>
      <c r="L42">
        <f>IFERROR(COUNTIF('5-Accidents du Travail'!C5:C104,C42),0)</f>
        <v/>
      </c>
      <c r="M42">
        <f>IFERROR(COUNTIF('6-Maladies Prof.'!C5:C104,C42),0)</f>
        <v/>
      </c>
    </row>
    <row r="43" ht="22" customHeight="1">
      <c r="B43" s="16">
        <f>IF(C43="","VM-"&amp;TEXT(COUNTA($C$5:C43),"000"))</f>
        <v/>
      </c>
      <c r="C43" s="11" t="n"/>
      <c r="D43" s="11" t="n"/>
      <c r="E43" s="11" t="n"/>
      <c r="F43" s="11" t="n"/>
      <c r="G43" s="11" t="n"/>
      <c r="H43" s="28" t="n"/>
      <c r="I43" s="11" t="n"/>
      <c r="J43" s="11" t="n"/>
      <c r="K43" s="11" t="n"/>
      <c r="L43">
        <f>IFERROR(COUNTIF('5-Accidents du Travail'!C5:C104,C43),0)</f>
        <v/>
      </c>
      <c r="M43">
        <f>IFERROR(COUNTIF('6-Maladies Prof.'!C5:C104,C43),0)</f>
        <v/>
      </c>
    </row>
    <row r="44" ht="22" customHeight="1">
      <c r="B44" s="15">
        <f>IF(C44="","VM-"&amp;TEXT(COUNTA($C$5:C44),"000"))</f>
        <v/>
      </c>
      <c r="C44" s="13" t="n"/>
      <c r="D44" s="13" t="n"/>
      <c r="E44" s="13" t="n"/>
      <c r="F44" s="13" t="n"/>
      <c r="G44" s="13" t="n"/>
      <c r="H44" s="29" t="n"/>
      <c r="I44" s="13" t="n"/>
      <c r="J44" s="13" t="n"/>
      <c r="K44" s="13" t="n"/>
      <c r="L44">
        <f>IFERROR(COUNTIF('5-Accidents du Travail'!C5:C104,C44),0)</f>
        <v/>
      </c>
      <c r="M44">
        <f>IFERROR(COUNTIF('6-Maladies Prof.'!C5:C104,C44),0)</f>
        <v/>
      </c>
    </row>
    <row r="45" ht="22" customHeight="1">
      <c r="B45" s="16">
        <f>IF(C45="","VM-"&amp;TEXT(COUNTA($C$5:C45),"000"))</f>
        <v/>
      </c>
      <c r="C45" s="11" t="n"/>
      <c r="D45" s="11" t="n"/>
      <c r="E45" s="11" t="n"/>
      <c r="F45" s="11" t="n"/>
      <c r="G45" s="11" t="n"/>
      <c r="H45" s="28" t="n"/>
      <c r="I45" s="11" t="n"/>
      <c r="J45" s="11" t="n"/>
      <c r="K45" s="11" t="n"/>
      <c r="L45">
        <f>IFERROR(COUNTIF('5-Accidents du Travail'!C5:C104,C45),0)</f>
        <v/>
      </c>
      <c r="M45">
        <f>IFERROR(COUNTIF('6-Maladies Prof.'!C5:C104,C45),0)</f>
        <v/>
      </c>
    </row>
    <row r="46" ht="22" customHeight="1">
      <c r="B46" s="15">
        <f>IF(C46="","VM-"&amp;TEXT(COUNTA($C$5:C46),"000"))</f>
        <v/>
      </c>
      <c r="C46" s="13" t="n"/>
      <c r="D46" s="13" t="n"/>
      <c r="E46" s="13" t="n"/>
      <c r="F46" s="13" t="n"/>
      <c r="G46" s="13" t="n"/>
      <c r="H46" s="29" t="n"/>
      <c r="I46" s="13" t="n"/>
      <c r="J46" s="13" t="n"/>
      <c r="K46" s="13" t="n"/>
      <c r="L46">
        <f>IFERROR(COUNTIF('5-Accidents du Travail'!C5:C104,C46),0)</f>
        <v/>
      </c>
      <c r="M46">
        <f>IFERROR(COUNTIF('6-Maladies Prof.'!C5:C104,C46),0)</f>
        <v/>
      </c>
    </row>
    <row r="47" ht="22" customHeight="1">
      <c r="B47" s="16">
        <f>IF(C47="","VM-"&amp;TEXT(COUNTA($C$5:C47),"000"))</f>
        <v/>
      </c>
      <c r="C47" s="11" t="n"/>
      <c r="D47" s="11" t="n"/>
      <c r="E47" s="11" t="n"/>
      <c r="F47" s="11" t="n"/>
      <c r="G47" s="11" t="n"/>
      <c r="H47" s="28" t="n"/>
      <c r="I47" s="11" t="n"/>
      <c r="J47" s="11" t="n"/>
      <c r="K47" s="11" t="n"/>
      <c r="L47">
        <f>IFERROR(COUNTIF('5-Accidents du Travail'!C5:C104,C47),0)</f>
        <v/>
      </c>
      <c r="M47">
        <f>IFERROR(COUNTIF('6-Maladies Prof.'!C5:C104,C47),0)</f>
        <v/>
      </c>
    </row>
    <row r="48" ht="22" customHeight="1">
      <c r="B48" s="15">
        <f>IF(C48="","VM-"&amp;TEXT(COUNTA($C$5:C48),"000"))</f>
        <v/>
      </c>
      <c r="C48" s="13" t="n"/>
      <c r="D48" s="13" t="n"/>
      <c r="E48" s="13" t="n"/>
      <c r="F48" s="13" t="n"/>
      <c r="G48" s="13" t="n"/>
      <c r="H48" s="29" t="n"/>
      <c r="I48" s="13" t="n"/>
      <c r="J48" s="13" t="n"/>
      <c r="K48" s="13" t="n"/>
      <c r="L48">
        <f>IFERROR(COUNTIF('5-Accidents du Travail'!C5:C104,C48),0)</f>
        <v/>
      </c>
      <c r="M48">
        <f>IFERROR(COUNTIF('6-Maladies Prof.'!C5:C104,C48),0)</f>
        <v/>
      </c>
    </row>
    <row r="49" ht="22" customHeight="1">
      <c r="B49" s="16">
        <f>IF(C49="","VM-"&amp;TEXT(COUNTA($C$5:C49),"000"))</f>
        <v/>
      </c>
      <c r="C49" s="11" t="n"/>
      <c r="D49" s="11" t="n"/>
      <c r="E49" s="11" t="n"/>
      <c r="F49" s="11" t="n"/>
      <c r="G49" s="11" t="n"/>
      <c r="H49" s="28" t="n"/>
      <c r="I49" s="11" t="n"/>
      <c r="J49" s="11" t="n"/>
      <c r="K49" s="11" t="n"/>
      <c r="L49">
        <f>IFERROR(COUNTIF('5-Accidents du Travail'!C5:C104,C49),0)</f>
        <v/>
      </c>
      <c r="M49">
        <f>IFERROR(COUNTIF('6-Maladies Prof.'!C5:C104,C49),0)</f>
        <v/>
      </c>
    </row>
    <row r="50" ht="22" customHeight="1">
      <c r="B50" s="15">
        <f>IF(C50="","VM-"&amp;TEXT(COUNTA($C$5:C50),"000"))</f>
        <v/>
      </c>
      <c r="C50" s="13" t="n"/>
      <c r="D50" s="13" t="n"/>
      <c r="E50" s="13" t="n"/>
      <c r="F50" s="13" t="n"/>
      <c r="G50" s="13" t="n"/>
      <c r="H50" s="29" t="n"/>
      <c r="I50" s="13" t="n"/>
      <c r="J50" s="13" t="n"/>
      <c r="K50" s="13" t="n"/>
      <c r="L50">
        <f>IFERROR(COUNTIF('5-Accidents du Travail'!C5:C104,C50),0)</f>
        <v/>
      </c>
      <c r="M50">
        <f>IFERROR(COUNTIF('6-Maladies Prof.'!C5:C104,C50),0)</f>
        <v/>
      </c>
    </row>
    <row r="51" ht="22" customHeight="1">
      <c r="B51" s="16">
        <f>IF(C51="","VM-"&amp;TEXT(COUNTA($C$5:C51),"000"))</f>
        <v/>
      </c>
      <c r="C51" s="11" t="n"/>
      <c r="D51" s="11" t="n"/>
      <c r="E51" s="11" t="n"/>
      <c r="F51" s="11" t="n"/>
      <c r="G51" s="11" t="n"/>
      <c r="H51" s="28" t="n"/>
      <c r="I51" s="11" t="n"/>
      <c r="J51" s="11" t="n"/>
      <c r="K51" s="11" t="n"/>
      <c r="L51">
        <f>IFERROR(COUNTIF('5-Accidents du Travail'!C5:C104,C51),0)</f>
        <v/>
      </c>
      <c r="M51">
        <f>IFERROR(COUNTIF('6-Maladies Prof.'!C5:C104,C51),0)</f>
        <v/>
      </c>
    </row>
    <row r="52" ht="22" customHeight="1">
      <c r="B52" s="15">
        <f>IF(C52="","VM-"&amp;TEXT(COUNTA($C$5:C52),"000"))</f>
        <v/>
      </c>
      <c r="C52" s="13" t="n"/>
      <c r="D52" s="13" t="n"/>
      <c r="E52" s="13" t="n"/>
      <c r="F52" s="13" t="n"/>
      <c r="G52" s="13" t="n"/>
      <c r="H52" s="29" t="n"/>
      <c r="I52" s="13" t="n"/>
      <c r="J52" s="13" t="n"/>
      <c r="K52" s="13" t="n"/>
      <c r="L52">
        <f>IFERROR(COUNTIF('5-Accidents du Travail'!C5:C104,C52),0)</f>
        <v/>
      </c>
      <c r="M52">
        <f>IFERROR(COUNTIF('6-Maladies Prof.'!C5:C104,C52),0)</f>
        <v/>
      </c>
    </row>
    <row r="53" ht="22" customHeight="1">
      <c r="B53" s="16">
        <f>IF(C53="","VM-"&amp;TEXT(COUNTA($C$5:C53),"000"))</f>
        <v/>
      </c>
      <c r="C53" s="11" t="n"/>
      <c r="D53" s="11" t="n"/>
      <c r="E53" s="11" t="n"/>
      <c r="F53" s="11" t="n"/>
      <c r="G53" s="11" t="n"/>
      <c r="H53" s="28" t="n"/>
      <c r="I53" s="11" t="n"/>
      <c r="J53" s="11" t="n"/>
      <c r="K53" s="11" t="n"/>
      <c r="L53">
        <f>IFERROR(COUNTIF('5-Accidents du Travail'!C5:C104,C53),0)</f>
        <v/>
      </c>
      <c r="M53">
        <f>IFERROR(COUNTIF('6-Maladies Prof.'!C5:C104,C53),0)</f>
        <v/>
      </c>
    </row>
    <row r="54" ht="22" customHeight="1">
      <c r="B54" s="15">
        <f>IF(C54="","VM-"&amp;TEXT(COUNTA($C$5:C54),"000"))</f>
        <v/>
      </c>
      <c r="C54" s="13" t="n"/>
      <c r="D54" s="13" t="n"/>
      <c r="E54" s="13" t="n"/>
      <c r="F54" s="13" t="n"/>
      <c r="G54" s="13" t="n"/>
      <c r="H54" s="29" t="n"/>
      <c r="I54" s="13" t="n"/>
      <c r="J54" s="13" t="n"/>
      <c r="K54" s="13" t="n"/>
      <c r="L54">
        <f>IFERROR(COUNTIF('5-Accidents du Travail'!C5:C104,C54),0)</f>
        <v/>
      </c>
      <c r="M54">
        <f>IFERROR(COUNTIF('6-Maladies Prof.'!C5:C104,C54),0)</f>
        <v/>
      </c>
    </row>
    <row r="55" ht="22" customHeight="1">
      <c r="B55" s="16">
        <f>IF(C55="","VM-"&amp;TEXT(COUNTA($C$5:C55),"000"))</f>
        <v/>
      </c>
      <c r="C55" s="11" t="n"/>
      <c r="D55" s="11" t="n"/>
      <c r="E55" s="11" t="n"/>
      <c r="F55" s="11" t="n"/>
      <c r="G55" s="11" t="n"/>
      <c r="H55" s="28" t="n"/>
      <c r="I55" s="11" t="n"/>
      <c r="J55" s="11" t="n"/>
      <c r="K55" s="11" t="n"/>
      <c r="L55">
        <f>IFERROR(COUNTIF('5-Accidents du Travail'!C5:C104,C55),0)</f>
        <v/>
      </c>
      <c r="M55">
        <f>IFERROR(COUNTIF('6-Maladies Prof.'!C5:C104,C55),0)</f>
        <v/>
      </c>
    </row>
    <row r="56" ht="22" customHeight="1">
      <c r="B56" s="15">
        <f>IF(C56="","VM-"&amp;TEXT(COUNTA($C$5:C56),"000"))</f>
        <v/>
      </c>
      <c r="C56" s="13" t="n"/>
      <c r="D56" s="13" t="n"/>
      <c r="E56" s="13" t="n"/>
      <c r="F56" s="13" t="n"/>
      <c r="G56" s="13" t="n"/>
      <c r="H56" s="29" t="n"/>
      <c r="I56" s="13" t="n"/>
      <c r="J56" s="13" t="n"/>
      <c r="K56" s="13" t="n"/>
      <c r="L56">
        <f>IFERROR(COUNTIF('5-Accidents du Travail'!C5:C104,C56),0)</f>
        <v/>
      </c>
      <c r="M56">
        <f>IFERROR(COUNTIF('6-Maladies Prof.'!C5:C104,C56),0)</f>
        <v/>
      </c>
    </row>
    <row r="57" ht="22" customHeight="1">
      <c r="B57" s="16">
        <f>IF(C57="","VM-"&amp;TEXT(COUNTA($C$5:C57),"000"))</f>
        <v/>
      </c>
      <c r="C57" s="11" t="n"/>
      <c r="D57" s="11" t="n"/>
      <c r="E57" s="11" t="n"/>
      <c r="F57" s="11" t="n"/>
      <c r="G57" s="11" t="n"/>
      <c r="H57" s="28" t="n"/>
      <c r="I57" s="11" t="n"/>
      <c r="J57" s="11" t="n"/>
      <c r="K57" s="11" t="n"/>
      <c r="L57">
        <f>IFERROR(COUNTIF('5-Accidents du Travail'!C5:C104,C57),0)</f>
        <v/>
      </c>
      <c r="M57">
        <f>IFERROR(COUNTIF('6-Maladies Prof.'!C5:C104,C57),0)</f>
        <v/>
      </c>
    </row>
    <row r="58" ht="22" customHeight="1">
      <c r="B58" s="15">
        <f>IF(C58="","VM-"&amp;TEXT(COUNTA($C$5:C58),"000"))</f>
        <v/>
      </c>
      <c r="C58" s="13" t="n"/>
      <c r="D58" s="13" t="n"/>
      <c r="E58" s="13" t="n"/>
      <c r="F58" s="13" t="n"/>
      <c r="G58" s="13" t="n"/>
      <c r="H58" s="29" t="n"/>
      <c r="I58" s="13" t="n"/>
      <c r="J58" s="13" t="n"/>
      <c r="K58" s="13" t="n"/>
      <c r="L58">
        <f>IFERROR(COUNTIF('5-Accidents du Travail'!C5:C104,C58),0)</f>
        <v/>
      </c>
      <c r="M58">
        <f>IFERROR(COUNTIF('6-Maladies Prof.'!C5:C104,C58),0)</f>
        <v/>
      </c>
    </row>
    <row r="59" ht="22" customHeight="1">
      <c r="B59" s="16">
        <f>IF(C59="","VM-"&amp;TEXT(COUNTA($C$5:C59),"000"))</f>
        <v/>
      </c>
      <c r="C59" s="11" t="n"/>
      <c r="D59" s="11" t="n"/>
      <c r="E59" s="11" t="n"/>
      <c r="F59" s="11" t="n"/>
      <c r="G59" s="11" t="n"/>
      <c r="H59" s="28" t="n"/>
      <c r="I59" s="11" t="n"/>
      <c r="J59" s="11" t="n"/>
      <c r="K59" s="11" t="n"/>
      <c r="L59">
        <f>IFERROR(COUNTIF('5-Accidents du Travail'!C5:C104,C59),0)</f>
        <v/>
      </c>
      <c r="M59">
        <f>IFERROR(COUNTIF('6-Maladies Prof.'!C5:C104,C59),0)</f>
        <v/>
      </c>
    </row>
    <row r="60" ht="22" customHeight="1">
      <c r="B60" s="15">
        <f>IF(C60="","VM-"&amp;TEXT(COUNTA($C$5:C60),"000"))</f>
        <v/>
      </c>
      <c r="C60" s="13" t="n"/>
      <c r="D60" s="13" t="n"/>
      <c r="E60" s="13" t="n"/>
      <c r="F60" s="13" t="n"/>
      <c r="G60" s="13" t="n"/>
      <c r="H60" s="29" t="n"/>
      <c r="I60" s="13" t="n"/>
      <c r="J60" s="13" t="n"/>
      <c r="K60" s="13" t="n"/>
      <c r="L60">
        <f>IFERROR(COUNTIF('5-Accidents du Travail'!C5:C104,C60),0)</f>
        <v/>
      </c>
      <c r="M60">
        <f>IFERROR(COUNTIF('6-Maladies Prof.'!C5:C104,C60),0)</f>
        <v/>
      </c>
    </row>
    <row r="61" ht="22" customHeight="1">
      <c r="B61" s="16">
        <f>IF(C61="","VM-"&amp;TEXT(COUNTA($C$5:C61),"000"))</f>
        <v/>
      </c>
      <c r="C61" s="11" t="n"/>
      <c r="D61" s="11" t="n"/>
      <c r="E61" s="11" t="n"/>
      <c r="F61" s="11" t="n"/>
      <c r="G61" s="11" t="n"/>
      <c r="H61" s="28" t="n"/>
      <c r="I61" s="11" t="n"/>
      <c r="J61" s="11" t="n"/>
      <c r="K61" s="11" t="n"/>
      <c r="L61">
        <f>IFERROR(COUNTIF('5-Accidents du Travail'!C5:C104,C61),0)</f>
        <v/>
      </c>
      <c r="M61">
        <f>IFERROR(COUNTIF('6-Maladies Prof.'!C5:C104,C61),0)</f>
        <v/>
      </c>
    </row>
    <row r="62" ht="22" customHeight="1">
      <c r="B62" s="15">
        <f>IF(C62="","VM-"&amp;TEXT(COUNTA($C$5:C62),"000"))</f>
        <v/>
      </c>
      <c r="C62" s="13" t="n"/>
      <c r="D62" s="13" t="n"/>
      <c r="E62" s="13" t="n"/>
      <c r="F62" s="13" t="n"/>
      <c r="G62" s="13" t="n"/>
      <c r="H62" s="29" t="n"/>
      <c r="I62" s="13" t="n"/>
      <c r="J62" s="13" t="n"/>
      <c r="K62" s="13" t="n"/>
      <c r="L62">
        <f>IFERROR(COUNTIF('5-Accidents du Travail'!C5:C104,C62),0)</f>
        <v/>
      </c>
      <c r="M62">
        <f>IFERROR(COUNTIF('6-Maladies Prof.'!C5:C104,C62),0)</f>
        <v/>
      </c>
    </row>
    <row r="63" ht="22" customHeight="1">
      <c r="B63" s="16">
        <f>IF(C63="","VM-"&amp;TEXT(COUNTA($C$5:C63),"000"))</f>
        <v/>
      </c>
      <c r="C63" s="11" t="n"/>
      <c r="D63" s="11" t="n"/>
      <c r="E63" s="11" t="n"/>
      <c r="F63" s="11" t="n"/>
      <c r="G63" s="11" t="n"/>
      <c r="H63" s="28" t="n"/>
      <c r="I63" s="11" t="n"/>
      <c r="J63" s="11" t="n"/>
      <c r="K63" s="11" t="n"/>
      <c r="L63">
        <f>IFERROR(COUNTIF('5-Accidents du Travail'!C5:C104,C63),0)</f>
        <v/>
      </c>
      <c r="M63">
        <f>IFERROR(COUNTIF('6-Maladies Prof.'!C5:C104,C63),0)</f>
        <v/>
      </c>
    </row>
    <row r="64" ht="22" customHeight="1">
      <c r="B64" s="15">
        <f>IF(C64="","VM-"&amp;TEXT(COUNTA($C$5:C64),"000"))</f>
        <v/>
      </c>
      <c r="C64" s="13" t="n"/>
      <c r="D64" s="13" t="n"/>
      <c r="E64" s="13" t="n"/>
      <c r="F64" s="13" t="n"/>
      <c r="G64" s="13" t="n"/>
      <c r="H64" s="29" t="n"/>
      <c r="I64" s="13" t="n"/>
      <c r="J64" s="13" t="n"/>
      <c r="K64" s="13" t="n"/>
      <c r="L64">
        <f>IFERROR(COUNTIF('5-Accidents du Travail'!C5:C104,C64),0)</f>
        <v/>
      </c>
      <c r="M64">
        <f>IFERROR(COUNTIF('6-Maladies Prof.'!C5:C104,C64),0)</f>
        <v/>
      </c>
    </row>
    <row r="65" ht="22" customHeight="1">
      <c r="B65" s="16">
        <f>IF(C65="","VM-"&amp;TEXT(COUNTA($C$5:C65),"000"))</f>
        <v/>
      </c>
      <c r="C65" s="11" t="n"/>
      <c r="D65" s="11" t="n"/>
      <c r="E65" s="11" t="n"/>
      <c r="F65" s="11" t="n"/>
      <c r="G65" s="11" t="n"/>
      <c r="H65" s="28" t="n"/>
      <c r="I65" s="11" t="n"/>
      <c r="J65" s="11" t="n"/>
      <c r="K65" s="11" t="n"/>
      <c r="L65">
        <f>IFERROR(COUNTIF('5-Accidents du Travail'!C5:C104,C65),0)</f>
        <v/>
      </c>
      <c r="M65">
        <f>IFERROR(COUNTIF('6-Maladies Prof.'!C5:C104,C65),0)</f>
        <v/>
      </c>
    </row>
    <row r="66" ht="22" customHeight="1">
      <c r="B66" s="15">
        <f>IF(C66="","VM-"&amp;TEXT(COUNTA($C$5:C66),"000"))</f>
        <v/>
      </c>
      <c r="C66" s="13" t="n"/>
      <c r="D66" s="13" t="n"/>
      <c r="E66" s="13" t="n"/>
      <c r="F66" s="13" t="n"/>
      <c r="G66" s="13" t="n"/>
      <c r="H66" s="29" t="n"/>
      <c r="I66" s="13" t="n"/>
      <c r="J66" s="13" t="n"/>
      <c r="K66" s="13" t="n"/>
      <c r="L66">
        <f>IFERROR(COUNTIF('5-Accidents du Travail'!C5:C104,C66),0)</f>
        <v/>
      </c>
      <c r="M66">
        <f>IFERROR(COUNTIF('6-Maladies Prof.'!C5:C104,C66),0)</f>
        <v/>
      </c>
    </row>
    <row r="67" ht="22" customHeight="1">
      <c r="B67" s="16">
        <f>IF(C67="","VM-"&amp;TEXT(COUNTA($C$5:C67),"000"))</f>
        <v/>
      </c>
      <c r="C67" s="11" t="n"/>
      <c r="D67" s="11" t="n"/>
      <c r="E67" s="11" t="n"/>
      <c r="F67" s="11" t="n"/>
      <c r="G67" s="11" t="n"/>
      <c r="H67" s="28" t="n"/>
      <c r="I67" s="11" t="n"/>
      <c r="J67" s="11" t="n"/>
      <c r="K67" s="11" t="n"/>
      <c r="L67">
        <f>IFERROR(COUNTIF('5-Accidents du Travail'!C5:C104,C67),0)</f>
        <v/>
      </c>
      <c r="M67">
        <f>IFERROR(COUNTIF('6-Maladies Prof.'!C5:C104,C67),0)</f>
        <v/>
      </c>
    </row>
    <row r="68" ht="22" customHeight="1">
      <c r="B68" s="15">
        <f>IF(C68="","VM-"&amp;TEXT(COUNTA($C$5:C68),"000"))</f>
        <v/>
      </c>
      <c r="C68" s="13" t="n"/>
      <c r="D68" s="13" t="n"/>
      <c r="E68" s="13" t="n"/>
      <c r="F68" s="13" t="n"/>
      <c r="G68" s="13" t="n"/>
      <c r="H68" s="29" t="n"/>
      <c r="I68" s="13" t="n"/>
      <c r="J68" s="13" t="n"/>
      <c r="K68" s="13" t="n"/>
      <c r="L68">
        <f>IFERROR(COUNTIF('5-Accidents du Travail'!C5:C104,C68),0)</f>
        <v/>
      </c>
      <c r="M68">
        <f>IFERROR(COUNTIF('6-Maladies Prof.'!C5:C104,C68),0)</f>
        <v/>
      </c>
    </row>
    <row r="69" ht="22" customHeight="1">
      <c r="B69" s="16">
        <f>IF(C69="","VM-"&amp;TEXT(COUNTA($C$5:C69),"000"))</f>
        <v/>
      </c>
      <c r="C69" s="11" t="n"/>
      <c r="D69" s="11" t="n"/>
      <c r="E69" s="11" t="n"/>
      <c r="F69" s="11" t="n"/>
      <c r="G69" s="11" t="n"/>
      <c r="H69" s="28" t="n"/>
      <c r="I69" s="11" t="n"/>
      <c r="J69" s="11" t="n"/>
      <c r="K69" s="11" t="n"/>
      <c r="L69">
        <f>IFERROR(COUNTIF('5-Accidents du Travail'!C5:C104,C69),0)</f>
        <v/>
      </c>
      <c r="M69">
        <f>IFERROR(COUNTIF('6-Maladies Prof.'!C5:C104,C69),0)</f>
        <v/>
      </c>
    </row>
    <row r="70" ht="22" customHeight="1">
      <c r="B70" s="15">
        <f>IF(C70="","VM-"&amp;TEXT(COUNTA($C$5:C70),"000"))</f>
        <v/>
      </c>
      <c r="C70" s="13" t="n"/>
      <c r="D70" s="13" t="n"/>
      <c r="E70" s="13" t="n"/>
      <c r="F70" s="13" t="n"/>
      <c r="G70" s="13" t="n"/>
      <c r="H70" s="29" t="n"/>
      <c r="I70" s="13" t="n"/>
      <c r="J70" s="13" t="n"/>
      <c r="K70" s="13" t="n"/>
      <c r="L70">
        <f>IFERROR(COUNTIF('5-Accidents du Travail'!C5:C104,C70),0)</f>
        <v/>
      </c>
      <c r="M70">
        <f>IFERROR(COUNTIF('6-Maladies Prof.'!C5:C104,C70),0)</f>
        <v/>
      </c>
    </row>
    <row r="71" ht="22" customHeight="1">
      <c r="B71" s="16">
        <f>IF(C71="","VM-"&amp;TEXT(COUNTA($C$5:C71),"000"))</f>
        <v/>
      </c>
      <c r="C71" s="11" t="n"/>
      <c r="D71" s="11" t="n"/>
      <c r="E71" s="11" t="n"/>
      <c r="F71" s="11" t="n"/>
      <c r="G71" s="11" t="n"/>
      <c r="H71" s="28" t="n"/>
      <c r="I71" s="11" t="n"/>
      <c r="J71" s="11" t="n"/>
      <c r="K71" s="11" t="n"/>
      <c r="L71">
        <f>IFERROR(COUNTIF('5-Accidents du Travail'!C5:C104,C71),0)</f>
        <v/>
      </c>
      <c r="M71">
        <f>IFERROR(COUNTIF('6-Maladies Prof.'!C5:C104,C71),0)</f>
        <v/>
      </c>
    </row>
    <row r="72" ht="22" customHeight="1">
      <c r="B72" s="15">
        <f>IF(C72="","VM-"&amp;TEXT(COUNTA($C$5:C72),"000"))</f>
        <v/>
      </c>
      <c r="C72" s="13" t="n"/>
      <c r="D72" s="13" t="n"/>
      <c r="E72" s="13" t="n"/>
      <c r="F72" s="13" t="n"/>
      <c r="G72" s="13" t="n"/>
      <c r="H72" s="29" t="n"/>
      <c r="I72" s="13" t="n"/>
      <c r="J72" s="13" t="n"/>
      <c r="K72" s="13" t="n"/>
      <c r="L72">
        <f>IFERROR(COUNTIF('5-Accidents du Travail'!C5:C104,C72),0)</f>
        <v/>
      </c>
      <c r="M72">
        <f>IFERROR(COUNTIF('6-Maladies Prof.'!C5:C104,C72),0)</f>
        <v/>
      </c>
    </row>
    <row r="73" ht="22" customHeight="1">
      <c r="B73" s="16">
        <f>IF(C73="","VM-"&amp;TEXT(COUNTA($C$5:C73),"000"))</f>
        <v/>
      </c>
      <c r="C73" s="11" t="n"/>
      <c r="D73" s="11" t="n"/>
      <c r="E73" s="11" t="n"/>
      <c r="F73" s="11" t="n"/>
      <c r="G73" s="11" t="n"/>
      <c r="H73" s="28" t="n"/>
      <c r="I73" s="11" t="n"/>
      <c r="J73" s="11" t="n"/>
      <c r="K73" s="11" t="n"/>
      <c r="L73">
        <f>IFERROR(COUNTIF('5-Accidents du Travail'!C5:C104,C73),0)</f>
        <v/>
      </c>
      <c r="M73">
        <f>IFERROR(COUNTIF('6-Maladies Prof.'!C5:C104,C73),0)</f>
        <v/>
      </c>
    </row>
    <row r="74" ht="22" customHeight="1">
      <c r="B74" s="15">
        <f>IF(C74="","VM-"&amp;TEXT(COUNTA($C$5:C74),"000"))</f>
        <v/>
      </c>
      <c r="C74" s="13" t="n"/>
      <c r="D74" s="13" t="n"/>
      <c r="E74" s="13" t="n"/>
      <c r="F74" s="13" t="n"/>
      <c r="G74" s="13" t="n"/>
      <c r="H74" s="29" t="n"/>
      <c r="I74" s="13" t="n"/>
      <c r="J74" s="13" t="n"/>
      <c r="K74" s="13" t="n"/>
      <c r="L74">
        <f>IFERROR(COUNTIF('5-Accidents du Travail'!C5:C104,C74),0)</f>
        <v/>
      </c>
      <c r="M74">
        <f>IFERROR(COUNTIF('6-Maladies Prof.'!C5:C104,C74),0)</f>
        <v/>
      </c>
    </row>
    <row r="75" ht="22" customHeight="1">
      <c r="B75" s="16">
        <f>IF(C75="","VM-"&amp;TEXT(COUNTA($C$5:C75),"000"))</f>
        <v/>
      </c>
      <c r="C75" s="11" t="n"/>
      <c r="D75" s="11" t="n"/>
      <c r="E75" s="11" t="n"/>
      <c r="F75" s="11" t="n"/>
      <c r="G75" s="11" t="n"/>
      <c r="H75" s="28" t="n"/>
      <c r="I75" s="11" t="n"/>
      <c r="J75" s="11" t="n"/>
      <c r="K75" s="11" t="n"/>
      <c r="L75">
        <f>IFERROR(COUNTIF('5-Accidents du Travail'!C5:C104,C75),0)</f>
        <v/>
      </c>
      <c r="M75">
        <f>IFERROR(COUNTIF('6-Maladies Prof.'!C5:C104,C75),0)</f>
        <v/>
      </c>
    </row>
    <row r="76" ht="22" customHeight="1">
      <c r="B76" s="15">
        <f>IF(C76="","VM-"&amp;TEXT(COUNTA($C$5:C76),"000"))</f>
        <v/>
      </c>
      <c r="C76" s="13" t="n"/>
      <c r="D76" s="13" t="n"/>
      <c r="E76" s="13" t="n"/>
      <c r="F76" s="13" t="n"/>
      <c r="G76" s="13" t="n"/>
      <c r="H76" s="29" t="n"/>
      <c r="I76" s="13" t="n"/>
      <c r="J76" s="13" t="n"/>
      <c r="K76" s="13" t="n"/>
      <c r="L76">
        <f>IFERROR(COUNTIF('5-Accidents du Travail'!C5:C104,C76),0)</f>
        <v/>
      </c>
      <c r="M76">
        <f>IFERROR(COUNTIF('6-Maladies Prof.'!C5:C104,C76),0)</f>
        <v/>
      </c>
    </row>
    <row r="77" ht="22" customHeight="1">
      <c r="B77" s="16">
        <f>IF(C77="","VM-"&amp;TEXT(COUNTA($C$5:C77),"000"))</f>
        <v/>
      </c>
      <c r="C77" s="11" t="n"/>
      <c r="D77" s="11" t="n"/>
      <c r="E77" s="11" t="n"/>
      <c r="F77" s="11" t="n"/>
      <c r="G77" s="11" t="n"/>
      <c r="H77" s="28" t="n"/>
      <c r="I77" s="11" t="n"/>
      <c r="J77" s="11" t="n"/>
      <c r="K77" s="11" t="n"/>
      <c r="L77">
        <f>IFERROR(COUNTIF('5-Accidents du Travail'!C5:C104,C77),0)</f>
        <v/>
      </c>
      <c r="M77">
        <f>IFERROR(COUNTIF('6-Maladies Prof.'!C5:C104,C77),0)</f>
        <v/>
      </c>
    </row>
    <row r="78" ht="22" customHeight="1">
      <c r="B78" s="15">
        <f>IF(C78="","VM-"&amp;TEXT(COUNTA($C$5:C78),"000"))</f>
        <v/>
      </c>
      <c r="C78" s="13" t="n"/>
      <c r="D78" s="13" t="n"/>
      <c r="E78" s="13" t="n"/>
      <c r="F78" s="13" t="n"/>
      <c r="G78" s="13" t="n"/>
      <c r="H78" s="29" t="n"/>
      <c r="I78" s="13" t="n"/>
      <c r="J78" s="13" t="n"/>
      <c r="K78" s="13" t="n"/>
      <c r="L78">
        <f>IFERROR(COUNTIF('5-Accidents du Travail'!C5:C104,C78),0)</f>
        <v/>
      </c>
      <c r="M78">
        <f>IFERROR(COUNTIF('6-Maladies Prof.'!C5:C104,C78),0)</f>
        <v/>
      </c>
    </row>
    <row r="79" ht="22" customHeight="1">
      <c r="B79" s="16">
        <f>IF(C79="","VM-"&amp;TEXT(COUNTA($C$5:C79),"000"))</f>
        <v/>
      </c>
      <c r="C79" s="11" t="n"/>
      <c r="D79" s="11" t="n"/>
      <c r="E79" s="11" t="n"/>
      <c r="F79" s="11" t="n"/>
      <c r="G79" s="11" t="n"/>
      <c r="H79" s="28" t="n"/>
      <c r="I79" s="11" t="n"/>
      <c r="J79" s="11" t="n"/>
      <c r="K79" s="11" t="n"/>
      <c r="L79">
        <f>IFERROR(COUNTIF('5-Accidents du Travail'!C5:C104,C79),0)</f>
        <v/>
      </c>
      <c r="M79">
        <f>IFERROR(COUNTIF('6-Maladies Prof.'!C5:C104,C79),0)</f>
        <v/>
      </c>
    </row>
    <row r="80" ht="22" customHeight="1">
      <c r="B80" s="15">
        <f>IF(C80="","VM-"&amp;TEXT(COUNTA($C$5:C80),"000"))</f>
        <v/>
      </c>
      <c r="C80" s="13" t="n"/>
      <c r="D80" s="13" t="n"/>
      <c r="E80" s="13" t="n"/>
      <c r="F80" s="13" t="n"/>
      <c r="G80" s="13" t="n"/>
      <c r="H80" s="29" t="n"/>
      <c r="I80" s="13" t="n"/>
      <c r="J80" s="13" t="n"/>
      <c r="K80" s="13" t="n"/>
      <c r="L80">
        <f>IFERROR(COUNTIF('5-Accidents du Travail'!C5:C104,C80),0)</f>
        <v/>
      </c>
      <c r="M80">
        <f>IFERROR(COUNTIF('6-Maladies Prof.'!C5:C104,C80),0)</f>
        <v/>
      </c>
    </row>
    <row r="81" ht="22" customHeight="1">
      <c r="B81" s="16">
        <f>IF(C81="","VM-"&amp;TEXT(COUNTA($C$5:C81),"000"))</f>
        <v/>
      </c>
      <c r="C81" s="11" t="n"/>
      <c r="D81" s="11" t="n"/>
      <c r="E81" s="11" t="n"/>
      <c r="F81" s="11" t="n"/>
      <c r="G81" s="11" t="n"/>
      <c r="H81" s="28" t="n"/>
      <c r="I81" s="11" t="n"/>
      <c r="J81" s="11" t="n"/>
      <c r="K81" s="11" t="n"/>
      <c r="L81">
        <f>IFERROR(COUNTIF('5-Accidents du Travail'!C5:C104,C81),0)</f>
        <v/>
      </c>
      <c r="M81">
        <f>IFERROR(COUNTIF('6-Maladies Prof.'!C5:C104,C81),0)</f>
        <v/>
      </c>
    </row>
    <row r="82" ht="22" customHeight="1">
      <c r="B82" s="15">
        <f>IF(C82="","VM-"&amp;TEXT(COUNTA($C$5:C82),"000"))</f>
        <v/>
      </c>
      <c r="C82" s="13" t="n"/>
      <c r="D82" s="13" t="n"/>
      <c r="E82" s="13" t="n"/>
      <c r="F82" s="13" t="n"/>
      <c r="G82" s="13" t="n"/>
      <c r="H82" s="29" t="n"/>
      <c r="I82" s="13" t="n"/>
      <c r="J82" s="13" t="n"/>
      <c r="K82" s="13" t="n"/>
      <c r="L82">
        <f>IFERROR(COUNTIF('5-Accidents du Travail'!C5:C104,C82),0)</f>
        <v/>
      </c>
      <c r="M82">
        <f>IFERROR(COUNTIF('6-Maladies Prof.'!C5:C104,C82),0)</f>
        <v/>
      </c>
    </row>
    <row r="83" ht="22" customHeight="1">
      <c r="B83" s="16">
        <f>IF(C83="","VM-"&amp;TEXT(COUNTA($C$5:C83),"000"))</f>
        <v/>
      </c>
      <c r="C83" s="11" t="n"/>
      <c r="D83" s="11" t="n"/>
      <c r="E83" s="11" t="n"/>
      <c r="F83" s="11" t="n"/>
      <c r="G83" s="11" t="n"/>
      <c r="H83" s="28" t="n"/>
      <c r="I83" s="11" t="n"/>
      <c r="J83" s="11" t="n"/>
      <c r="K83" s="11" t="n"/>
      <c r="L83">
        <f>IFERROR(COUNTIF('5-Accidents du Travail'!C5:C104,C83),0)</f>
        <v/>
      </c>
      <c r="M83">
        <f>IFERROR(COUNTIF('6-Maladies Prof.'!C5:C104,C83),0)</f>
        <v/>
      </c>
    </row>
    <row r="84" ht="22" customHeight="1">
      <c r="B84" s="15">
        <f>IF(C84="","VM-"&amp;TEXT(COUNTA($C$5:C84),"000"))</f>
        <v/>
      </c>
      <c r="C84" s="13" t="n"/>
      <c r="D84" s="13" t="n"/>
      <c r="E84" s="13" t="n"/>
      <c r="F84" s="13" t="n"/>
      <c r="G84" s="13" t="n"/>
      <c r="H84" s="29" t="n"/>
      <c r="I84" s="13" t="n"/>
      <c r="J84" s="13" t="n"/>
      <c r="K84" s="13" t="n"/>
      <c r="L84">
        <f>IFERROR(COUNTIF('5-Accidents du Travail'!C5:C104,C84),0)</f>
        <v/>
      </c>
      <c r="M84">
        <f>IFERROR(COUNTIF('6-Maladies Prof.'!C5:C104,C84),0)</f>
        <v/>
      </c>
    </row>
    <row r="85" ht="22" customHeight="1">
      <c r="B85" s="16">
        <f>IF(C85="","VM-"&amp;TEXT(COUNTA($C$5:C85),"000"))</f>
        <v/>
      </c>
      <c r="C85" s="11" t="n"/>
      <c r="D85" s="11" t="n"/>
      <c r="E85" s="11" t="n"/>
      <c r="F85" s="11" t="n"/>
      <c r="G85" s="11" t="n"/>
      <c r="H85" s="28" t="n"/>
      <c r="I85" s="11" t="n"/>
      <c r="J85" s="11" t="n"/>
      <c r="K85" s="11" t="n"/>
      <c r="L85">
        <f>IFERROR(COUNTIF('5-Accidents du Travail'!C5:C104,C85),0)</f>
        <v/>
      </c>
      <c r="M85">
        <f>IFERROR(COUNTIF('6-Maladies Prof.'!C5:C104,C85),0)</f>
        <v/>
      </c>
    </row>
    <row r="86" ht="22" customHeight="1">
      <c r="B86" s="15">
        <f>IF(C86="","VM-"&amp;TEXT(COUNTA($C$5:C86),"000"))</f>
        <v/>
      </c>
      <c r="C86" s="13" t="n"/>
      <c r="D86" s="13" t="n"/>
      <c r="E86" s="13" t="n"/>
      <c r="F86" s="13" t="n"/>
      <c r="G86" s="13" t="n"/>
      <c r="H86" s="29" t="n"/>
      <c r="I86" s="13" t="n"/>
      <c r="J86" s="13" t="n"/>
      <c r="K86" s="13" t="n"/>
      <c r="L86">
        <f>IFERROR(COUNTIF('5-Accidents du Travail'!C5:C104,C86),0)</f>
        <v/>
      </c>
      <c r="M86">
        <f>IFERROR(COUNTIF('6-Maladies Prof.'!C5:C104,C86),0)</f>
        <v/>
      </c>
    </row>
    <row r="87" ht="22" customHeight="1">
      <c r="B87" s="16">
        <f>IF(C87="","VM-"&amp;TEXT(COUNTA($C$5:C87),"000"))</f>
        <v/>
      </c>
      <c r="C87" s="11" t="n"/>
      <c r="D87" s="11" t="n"/>
      <c r="E87" s="11" t="n"/>
      <c r="F87" s="11" t="n"/>
      <c r="G87" s="11" t="n"/>
      <c r="H87" s="28" t="n"/>
      <c r="I87" s="11" t="n"/>
      <c r="J87" s="11" t="n"/>
      <c r="K87" s="11" t="n"/>
      <c r="L87">
        <f>IFERROR(COUNTIF('5-Accidents du Travail'!C5:C104,C87),0)</f>
        <v/>
      </c>
      <c r="M87">
        <f>IFERROR(COUNTIF('6-Maladies Prof.'!C5:C104,C87),0)</f>
        <v/>
      </c>
    </row>
    <row r="88" ht="22" customHeight="1">
      <c r="B88" s="15">
        <f>IF(C88="","VM-"&amp;TEXT(COUNTA($C$5:C88),"000"))</f>
        <v/>
      </c>
      <c r="C88" s="13" t="n"/>
      <c r="D88" s="13" t="n"/>
      <c r="E88" s="13" t="n"/>
      <c r="F88" s="13" t="n"/>
      <c r="G88" s="13" t="n"/>
      <c r="H88" s="29" t="n"/>
      <c r="I88" s="13" t="n"/>
      <c r="J88" s="13" t="n"/>
      <c r="K88" s="13" t="n"/>
      <c r="L88">
        <f>IFERROR(COUNTIF('5-Accidents du Travail'!C5:C104,C88),0)</f>
        <v/>
      </c>
      <c r="M88">
        <f>IFERROR(COUNTIF('6-Maladies Prof.'!C5:C104,C88),0)</f>
        <v/>
      </c>
    </row>
    <row r="89" ht="22" customHeight="1">
      <c r="B89" s="16">
        <f>IF(C89="","VM-"&amp;TEXT(COUNTA($C$5:C89),"000"))</f>
        <v/>
      </c>
      <c r="C89" s="11" t="n"/>
      <c r="D89" s="11" t="n"/>
      <c r="E89" s="11" t="n"/>
      <c r="F89" s="11" t="n"/>
      <c r="G89" s="11" t="n"/>
      <c r="H89" s="28" t="n"/>
      <c r="I89" s="11" t="n"/>
      <c r="J89" s="11" t="n"/>
      <c r="K89" s="11" t="n"/>
      <c r="L89">
        <f>IFERROR(COUNTIF('5-Accidents du Travail'!C5:C104,C89),0)</f>
        <v/>
      </c>
      <c r="M89">
        <f>IFERROR(COUNTIF('6-Maladies Prof.'!C5:C104,C89),0)</f>
        <v/>
      </c>
    </row>
    <row r="90" ht="22" customHeight="1">
      <c r="B90" s="15">
        <f>IF(C90="","VM-"&amp;TEXT(COUNTA($C$5:C90),"000"))</f>
        <v/>
      </c>
      <c r="C90" s="13" t="n"/>
      <c r="D90" s="13" t="n"/>
      <c r="E90" s="13" t="n"/>
      <c r="F90" s="13" t="n"/>
      <c r="G90" s="13" t="n"/>
      <c r="H90" s="29" t="n"/>
      <c r="I90" s="13" t="n"/>
      <c r="J90" s="13" t="n"/>
      <c r="K90" s="13" t="n"/>
      <c r="L90">
        <f>IFERROR(COUNTIF('5-Accidents du Travail'!C5:C104,C90),0)</f>
        <v/>
      </c>
      <c r="M90">
        <f>IFERROR(COUNTIF('6-Maladies Prof.'!C5:C104,C90),0)</f>
        <v/>
      </c>
    </row>
    <row r="91" ht="22" customHeight="1">
      <c r="B91" s="16">
        <f>IF(C91="","VM-"&amp;TEXT(COUNTA($C$5:C91),"000"))</f>
        <v/>
      </c>
      <c r="C91" s="11" t="n"/>
      <c r="D91" s="11" t="n"/>
      <c r="E91" s="11" t="n"/>
      <c r="F91" s="11" t="n"/>
      <c r="G91" s="11" t="n"/>
      <c r="H91" s="28" t="n"/>
      <c r="I91" s="11" t="n"/>
      <c r="J91" s="11" t="n"/>
      <c r="K91" s="11" t="n"/>
      <c r="L91">
        <f>IFERROR(COUNTIF('5-Accidents du Travail'!C5:C104,C91),0)</f>
        <v/>
      </c>
      <c r="M91">
        <f>IFERROR(COUNTIF('6-Maladies Prof.'!C5:C104,C91),0)</f>
        <v/>
      </c>
    </row>
    <row r="92" ht="22" customHeight="1">
      <c r="B92" s="15">
        <f>IF(C92="","VM-"&amp;TEXT(COUNTA($C$5:C92),"000"))</f>
        <v/>
      </c>
      <c r="C92" s="13" t="n"/>
      <c r="D92" s="13" t="n"/>
      <c r="E92" s="13" t="n"/>
      <c r="F92" s="13" t="n"/>
      <c r="G92" s="13" t="n"/>
      <c r="H92" s="29" t="n"/>
      <c r="I92" s="13" t="n"/>
      <c r="J92" s="13" t="n"/>
      <c r="K92" s="13" t="n"/>
      <c r="L92">
        <f>IFERROR(COUNTIF('5-Accidents du Travail'!C5:C104,C92),0)</f>
        <v/>
      </c>
      <c r="M92">
        <f>IFERROR(COUNTIF('6-Maladies Prof.'!C5:C104,C92),0)</f>
        <v/>
      </c>
    </row>
    <row r="93" ht="22" customHeight="1">
      <c r="B93" s="16">
        <f>IF(C93="","VM-"&amp;TEXT(COUNTA($C$5:C93),"000"))</f>
        <v/>
      </c>
      <c r="C93" s="11" t="n"/>
      <c r="D93" s="11" t="n"/>
      <c r="E93" s="11" t="n"/>
      <c r="F93" s="11" t="n"/>
      <c r="G93" s="11" t="n"/>
      <c r="H93" s="28" t="n"/>
      <c r="I93" s="11" t="n"/>
      <c r="J93" s="11" t="n"/>
      <c r="K93" s="11" t="n"/>
      <c r="L93">
        <f>IFERROR(COUNTIF('5-Accidents du Travail'!C5:C104,C93),0)</f>
        <v/>
      </c>
      <c r="M93">
        <f>IFERROR(COUNTIF('6-Maladies Prof.'!C5:C104,C93),0)</f>
        <v/>
      </c>
    </row>
    <row r="94" ht="22" customHeight="1">
      <c r="B94" s="15">
        <f>IF(C94="","VM-"&amp;TEXT(COUNTA($C$5:C94),"000"))</f>
        <v/>
      </c>
      <c r="C94" s="13" t="n"/>
      <c r="D94" s="13" t="n"/>
      <c r="E94" s="13" t="n"/>
      <c r="F94" s="13" t="n"/>
      <c r="G94" s="13" t="n"/>
      <c r="H94" s="29" t="n"/>
      <c r="I94" s="13" t="n"/>
      <c r="J94" s="13" t="n"/>
      <c r="K94" s="13" t="n"/>
      <c r="L94">
        <f>IFERROR(COUNTIF('5-Accidents du Travail'!C5:C104,C94),0)</f>
        <v/>
      </c>
      <c r="M94">
        <f>IFERROR(COUNTIF('6-Maladies Prof.'!C5:C104,C94),0)</f>
        <v/>
      </c>
    </row>
    <row r="95" ht="22" customHeight="1">
      <c r="B95" s="16">
        <f>IF(C95="","VM-"&amp;TEXT(COUNTA($C$5:C95),"000"))</f>
        <v/>
      </c>
      <c r="C95" s="11" t="n"/>
      <c r="D95" s="11" t="n"/>
      <c r="E95" s="11" t="n"/>
      <c r="F95" s="11" t="n"/>
      <c r="G95" s="11" t="n"/>
      <c r="H95" s="28" t="n"/>
      <c r="I95" s="11" t="n"/>
      <c r="J95" s="11" t="n"/>
      <c r="K95" s="11" t="n"/>
      <c r="L95">
        <f>IFERROR(COUNTIF('5-Accidents du Travail'!C5:C104,C95),0)</f>
        <v/>
      </c>
      <c r="M95">
        <f>IFERROR(COUNTIF('6-Maladies Prof.'!C5:C104,C95),0)</f>
        <v/>
      </c>
    </row>
    <row r="96" ht="22" customHeight="1">
      <c r="B96" s="15">
        <f>IF(C96="","VM-"&amp;TEXT(COUNTA($C$5:C96),"000"))</f>
        <v/>
      </c>
      <c r="C96" s="13" t="n"/>
      <c r="D96" s="13" t="n"/>
      <c r="E96" s="13" t="n"/>
      <c r="F96" s="13" t="n"/>
      <c r="G96" s="13" t="n"/>
      <c r="H96" s="29" t="n"/>
      <c r="I96" s="13" t="n"/>
      <c r="J96" s="13" t="n"/>
      <c r="K96" s="13" t="n"/>
      <c r="L96">
        <f>IFERROR(COUNTIF('5-Accidents du Travail'!C5:C104,C96),0)</f>
        <v/>
      </c>
      <c r="M96">
        <f>IFERROR(COUNTIF('6-Maladies Prof.'!C5:C104,C96),0)</f>
        <v/>
      </c>
    </row>
    <row r="97" ht="22" customHeight="1">
      <c r="B97" s="16">
        <f>IF(C97="","VM-"&amp;TEXT(COUNTA($C$5:C97),"000"))</f>
        <v/>
      </c>
      <c r="C97" s="11" t="n"/>
      <c r="D97" s="11" t="n"/>
      <c r="E97" s="11" t="n"/>
      <c r="F97" s="11" t="n"/>
      <c r="G97" s="11" t="n"/>
      <c r="H97" s="28" t="n"/>
      <c r="I97" s="11" t="n"/>
      <c r="J97" s="11" t="n"/>
      <c r="K97" s="11" t="n"/>
      <c r="L97">
        <f>IFERROR(COUNTIF('5-Accidents du Travail'!C5:C104,C97),0)</f>
        <v/>
      </c>
      <c r="M97">
        <f>IFERROR(COUNTIF('6-Maladies Prof.'!C5:C104,C97),0)</f>
        <v/>
      </c>
    </row>
    <row r="98" ht="22" customHeight="1">
      <c r="B98" s="15">
        <f>IF(C98="","VM-"&amp;TEXT(COUNTA($C$5:C98),"000"))</f>
        <v/>
      </c>
      <c r="C98" s="13" t="n"/>
      <c r="D98" s="13" t="n"/>
      <c r="E98" s="13" t="n"/>
      <c r="F98" s="13" t="n"/>
      <c r="G98" s="13" t="n"/>
      <c r="H98" s="29" t="n"/>
      <c r="I98" s="13" t="n"/>
      <c r="J98" s="13" t="n"/>
      <c r="K98" s="13" t="n"/>
      <c r="L98">
        <f>IFERROR(COUNTIF('5-Accidents du Travail'!C5:C104,C98),0)</f>
        <v/>
      </c>
      <c r="M98">
        <f>IFERROR(COUNTIF('6-Maladies Prof.'!C5:C104,C98),0)</f>
        <v/>
      </c>
    </row>
    <row r="99" ht="22" customHeight="1">
      <c r="B99" s="16">
        <f>IF(C99="","VM-"&amp;TEXT(COUNTA($C$5:C99),"000"))</f>
        <v/>
      </c>
      <c r="C99" s="11" t="n"/>
      <c r="D99" s="11" t="n"/>
      <c r="E99" s="11" t="n"/>
      <c r="F99" s="11" t="n"/>
      <c r="G99" s="11" t="n"/>
      <c r="H99" s="28" t="n"/>
      <c r="I99" s="11" t="n"/>
      <c r="J99" s="11" t="n"/>
      <c r="K99" s="11" t="n"/>
      <c r="L99">
        <f>IFERROR(COUNTIF('5-Accidents du Travail'!C5:C104,C99),0)</f>
        <v/>
      </c>
      <c r="M99">
        <f>IFERROR(COUNTIF('6-Maladies Prof.'!C5:C104,C99),0)</f>
        <v/>
      </c>
    </row>
    <row r="100" ht="22" customHeight="1">
      <c r="B100" s="15">
        <f>IF(C100="","VM-"&amp;TEXT(COUNTA($C$5:C100),"000"))</f>
        <v/>
      </c>
      <c r="C100" s="13" t="n"/>
      <c r="D100" s="13" t="n"/>
      <c r="E100" s="13" t="n"/>
      <c r="F100" s="13" t="n"/>
      <c r="G100" s="13" t="n"/>
      <c r="H100" s="29" t="n"/>
      <c r="I100" s="13" t="n"/>
      <c r="J100" s="13" t="n"/>
      <c r="K100" s="13" t="n"/>
      <c r="L100">
        <f>IFERROR(COUNTIF('5-Accidents du Travail'!C5:C104,C100),0)</f>
        <v/>
      </c>
      <c r="M100">
        <f>IFERROR(COUNTIF('6-Maladies Prof.'!C5:C104,C100),0)</f>
        <v/>
      </c>
    </row>
    <row r="101" ht="22" customHeight="1">
      <c r="B101" s="16">
        <f>IF(C101="","VM-"&amp;TEXT(COUNTA($C$5:C101),"000"))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11" t="n"/>
      <c r="J101" s="11" t="n"/>
      <c r="K101" s="11" t="n"/>
      <c r="L101">
        <f>IFERROR(COUNTIF('5-Accidents du Travail'!C5:C104,C101),0)</f>
        <v/>
      </c>
      <c r="M101">
        <f>IFERROR(COUNTIF('6-Maladies Prof.'!C5:C104,C101),0)</f>
        <v/>
      </c>
    </row>
    <row r="102" ht="22" customHeight="1">
      <c r="B102" s="15">
        <f>IF(C102="","VM-"&amp;TEXT(COUNTA($C$5:C102),"000"))</f>
        <v/>
      </c>
      <c r="C102" s="13" t="n"/>
      <c r="D102" s="13" t="n"/>
      <c r="E102" s="13" t="n"/>
      <c r="F102" s="13" t="n"/>
      <c r="G102" s="13" t="n"/>
      <c r="H102" s="29" t="n"/>
      <c r="I102" s="13" t="n"/>
      <c r="J102" s="13" t="n"/>
      <c r="K102" s="13" t="n"/>
      <c r="L102">
        <f>IFERROR(COUNTIF('5-Accidents du Travail'!C5:C104,C102),0)</f>
        <v/>
      </c>
      <c r="M102">
        <f>IFERROR(COUNTIF('6-Maladies Prof.'!C5:C104,C102),0)</f>
        <v/>
      </c>
    </row>
    <row r="103" ht="22" customHeight="1">
      <c r="B103" s="16">
        <f>IF(C103="","VM-"&amp;TEXT(COUNTA($C$5:C103),"000"))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11" t="n"/>
      <c r="J103" s="11" t="n"/>
      <c r="K103" s="11" t="n"/>
      <c r="L103">
        <f>IFERROR(COUNTIF('5-Accidents du Travail'!C5:C104,C103),0)</f>
        <v/>
      </c>
      <c r="M103">
        <f>IFERROR(COUNTIF('6-Maladies Prof.'!C5:C104,C103),0)</f>
        <v/>
      </c>
    </row>
    <row r="104" ht="22" customHeight="1">
      <c r="B104" s="15">
        <f>IF(C104="","VM-"&amp;TEXT(COUNTA($C$5:C104),"000"))</f>
        <v/>
      </c>
      <c r="C104" s="13" t="n"/>
      <c r="D104" s="13" t="n"/>
      <c r="E104" s="13" t="n"/>
      <c r="F104" s="13" t="n"/>
      <c r="G104" s="13" t="n"/>
      <c r="H104" s="29" t="n"/>
      <c r="I104" s="13" t="n"/>
      <c r="J104" s="13" t="n"/>
      <c r="K104" s="13" t="n"/>
      <c r="L104">
        <f>IFERROR(COUNTIF('5-Accidents du Travail'!C5:C104,C104),0)</f>
        <v/>
      </c>
      <c r="M104">
        <f>IFERROR(COUNTIF('6-Maladies Prof.'!C5:C104,C104),0)</f>
        <v/>
      </c>
    </row>
    <row r="105" ht="22" customHeight="1">
      <c r="B105" s="16">
        <f>IF(C105="","VM-"&amp;TEXT(COUNTA($C$5:C105),"000"))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11" t="n"/>
      <c r="J105" s="11" t="n"/>
      <c r="K105" s="11" t="n"/>
      <c r="L105">
        <f>IFERROR(COUNTIF('5-Accidents du Travail'!C5:C104,C105),0)</f>
        <v/>
      </c>
      <c r="M105">
        <f>IFERROR(COUNTIF('6-Maladies Prof.'!C5:C104,C105),0)</f>
        <v/>
      </c>
    </row>
    <row r="106" ht="22" customHeight="1">
      <c r="B106" s="15">
        <f>IF(C106="","VM-"&amp;TEXT(COUNTA($C$5:C106),"000"))</f>
        <v/>
      </c>
      <c r="C106" s="13" t="n"/>
      <c r="D106" s="13" t="n"/>
      <c r="E106" s="13" t="n"/>
      <c r="F106" s="13" t="n"/>
      <c r="G106" s="13" t="n"/>
      <c r="H106" s="29" t="n"/>
      <c r="I106" s="13" t="n"/>
      <c r="J106" s="13" t="n"/>
      <c r="K106" s="13" t="n"/>
      <c r="L106">
        <f>IFERROR(COUNTIF('5-Accidents du Travail'!C5:C104,C106),0)</f>
        <v/>
      </c>
      <c r="M106">
        <f>IFERROR(COUNTIF('6-Maladies Prof.'!C5:C104,C106),0)</f>
        <v/>
      </c>
    </row>
    <row r="107" ht="22" customHeight="1">
      <c r="B107" s="16">
        <f>IF(C107="","VM-"&amp;TEXT(COUNTA($C$5:C107),"000"))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11" t="n"/>
      <c r="J107" s="11" t="n"/>
      <c r="K107" s="11" t="n"/>
      <c r="L107">
        <f>IFERROR(COUNTIF('5-Accidents du Travail'!C5:C104,C107),0)</f>
        <v/>
      </c>
      <c r="M107">
        <f>IFERROR(COUNTIF('6-Maladies Prof.'!C5:C104,C107),0)</f>
        <v/>
      </c>
    </row>
    <row r="108" ht="22" customHeight="1">
      <c r="B108" s="15">
        <f>IF(C108="","VM-"&amp;TEXT(COUNTA($C$5:C108),"000"))</f>
        <v/>
      </c>
      <c r="C108" s="13" t="n"/>
      <c r="D108" s="13" t="n"/>
      <c r="E108" s="13" t="n"/>
      <c r="F108" s="13" t="n"/>
      <c r="G108" s="13" t="n"/>
      <c r="H108" s="29" t="n"/>
      <c r="I108" s="13" t="n"/>
      <c r="J108" s="13" t="n"/>
      <c r="K108" s="13" t="n"/>
      <c r="L108">
        <f>IFERROR(COUNTIF('5-Accidents du Travail'!C5:C104,C108),0)</f>
        <v/>
      </c>
      <c r="M108">
        <f>IFERROR(COUNTIF('6-Maladies Prof.'!C5:C104,C108),0)</f>
        <v/>
      </c>
    </row>
    <row r="109" ht="22" customHeight="1">
      <c r="B109" s="16">
        <f>IF(C109="","VM-"&amp;TEXT(COUNTA($C$5:C109),"000"))</f>
        <v/>
      </c>
      <c r="C109" s="11" t="n"/>
      <c r="D109" s="11" t="n"/>
      <c r="E109" s="11" t="n"/>
      <c r="F109" s="11" t="n"/>
      <c r="G109" s="11" t="n"/>
      <c r="H109" s="28" t="n"/>
      <c r="I109" s="11" t="n"/>
      <c r="J109" s="11" t="n"/>
      <c r="K109" s="11" t="n"/>
      <c r="L109">
        <f>IFERROR(COUNTIF('5-Accidents du Travail'!C5:C104,C109),0)</f>
        <v/>
      </c>
      <c r="M109">
        <f>IFERROR(COUNTIF('6-Maladies Prof.'!C5:C104,C109),0)</f>
        <v/>
      </c>
    </row>
    <row r="110"/>
    <row r="111">
      <c r="B111" s="5" t="inlineStr">
        <is>
          <t>INDICATEURS (mis a jour automatiquement)</t>
        </is>
      </c>
    </row>
    <row r="112">
      <c r="B112" s="3" t="inlineStr">
        <is>
          <t>Visites</t>
        </is>
      </c>
      <c r="D112" s="3" t="inlineStr">
        <is>
          <t>Aptes</t>
        </is>
      </c>
      <c r="F112" s="3" t="inlineStr">
        <is>
          <t>Aptes avec restrictions</t>
        </is>
      </c>
      <c r="H112" s="3" t="inlineStr">
        <is>
          <t>Inaptes</t>
        </is>
      </c>
    </row>
    <row r="113">
      <c r="B113" s="4" t="inlineStr">
        <is>
          <t>Total visites</t>
        </is>
      </c>
      <c r="D113" s="4">
        <f>COUNTIF(B5:B104,"&lt;&gt;")</f>
        <v/>
      </c>
      <c r="F113" s="4">
        <f>COUNTIF(J5:J104,"Apte avec restriction")</f>
        <v/>
      </c>
      <c r="H113" s="4">
        <f>COUNTIF(J5:J104,"*Inapte*")</f>
        <v/>
      </c>
    </row>
    <row r="114">
      <c r="B114" t="inlineStr">
        <is>
          <t>Apte</t>
        </is>
      </c>
      <c r="D114">
        <f>COUNTIF(J5:J104,"Apte")</f>
        <v/>
      </c>
    </row>
    <row r="115">
      <c r="B115" t="inlineStr">
        <is>
          <t>Inapte temporaire</t>
        </is>
      </c>
      <c r="D115">
        <f>COUNTIF(J5:J104,"Inapte temporaire")</f>
        <v/>
      </c>
    </row>
    <row r="116">
      <c r="B116" t="inlineStr">
        <is>
          <t>Apte avec restriction</t>
        </is>
      </c>
      <c r="D116">
        <f>COUNTIF(J5:J104,"Apte avec restriction")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conditionalFormatting sqref="K10:K109">
    <cfRule type="expression" priority="159" dxfId="0">
      <formula>AND($C10="",$C9&lt;&gt;"")</formula>
    </cfRule>
  </conditionalFormatting>
  <dataValidations count="4"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'_Lists'!$M$2:$M$8</formula1>
    </dataValidation>
    <dataValidation sqref="J5:J109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2" customWidth="1" min="4" max="4"/>
    <col width="36" customWidth="1" min="5" max="5"/>
    <col width="34" customWidth="1" min="6" max="6"/>
    <col width="36" customWidth="1" min="7" max="7"/>
    <col width="20" customWidth="1" min="8" max="8"/>
    <col width="20" customWidth="1" min="9" max="9"/>
  </cols>
  <sheetData>
    <row r="1" ht="15" customHeight="1"/>
    <row r="2" ht="32" customHeight="1">
      <c r="B2" s="1" t="inlineStr">
        <is>
          <t>FICHE DE POSTE - RISQUES PROFESSIONNELS (#103)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Poste</t>
        </is>
      </c>
      <c r="D4" s="10" t="inlineStr">
        <is>
          <t>Departement</t>
        </is>
      </c>
      <c r="E4" s="10" t="inlineStr">
        <is>
          <t>Risques Principaux</t>
        </is>
      </c>
      <c r="F4" s="10" t="inlineStr">
        <is>
          <t>EPI Requis</t>
        </is>
      </c>
      <c r="G4" s="10" t="inlineStr">
        <is>
          <t>Formation Requise</t>
        </is>
      </c>
      <c r="H4" s="10" t="inlineStr">
        <is>
          <t>Frequence Exposition</t>
        </is>
      </c>
      <c r="I4" s="10" t="inlineStr">
        <is>
          <t>Niveau Global Risque</t>
        </is>
      </c>
    </row>
    <row r="5" ht="22" customHeight="1">
      <c r="B5" s="11" t="inlineStr">
        <is>
          <t>FPR-001</t>
        </is>
      </c>
      <c r="C5" s="11" t="inlineStr">
        <is>
          <t>Cuisinier</t>
        </is>
      </c>
      <c r="D5" s="11" t="inlineStr">
        <is>
          <t>Cuisine &amp; Restauration</t>
        </is>
      </c>
      <c r="E5" s="11" t="inlineStr">
        <is>
          <t>Thermique, incendie, chimique, TMS</t>
        </is>
      </c>
      <c r="F5" s="11" t="inlineStr">
        <is>
          <t>Gants thermiques, tablier, chaussures</t>
        </is>
      </c>
      <c r="G5" s="11" t="inlineStr">
        <is>
          <t>Incendie, HACCP, manip chaud</t>
        </is>
      </c>
      <c r="H5" s="11" t="inlineStr">
        <is>
          <t>Quotidienne</t>
        </is>
      </c>
      <c r="I5" s="11" t="inlineStr">
        <is>
          <t>Eleve</t>
        </is>
      </c>
    </row>
    <row r="6" ht="22" customHeight="1">
      <c r="B6" s="13" t="inlineStr">
        <is>
          <t>FPR-002</t>
        </is>
      </c>
      <c r="C6" s="13" t="inlineStr">
        <is>
          <t>Plongeur</t>
        </is>
      </c>
      <c r="D6" s="13" t="inlineStr">
        <is>
          <t>Cuisine &amp; Restauration</t>
        </is>
      </c>
      <c r="E6" s="13" t="inlineStr">
        <is>
          <t>Chimique, TMS, glissade</t>
        </is>
      </c>
      <c r="F6" s="13" t="inlineStr">
        <is>
          <t>Gants, lunettes, bottes</t>
        </is>
      </c>
      <c r="G6" s="13" t="inlineStr">
        <is>
          <t>Manip produits, securite sol</t>
        </is>
      </c>
      <c r="H6" s="13" t="inlineStr">
        <is>
          <t>Quotidienne</t>
        </is>
      </c>
      <c r="I6" s="13" t="inlineStr">
        <is>
          <t>Moyen</t>
        </is>
      </c>
    </row>
    <row r="7" ht="22" customHeight="1">
      <c r="B7" s="11" t="inlineStr">
        <is>
          <t>FPR-003</t>
        </is>
      </c>
      <c r="C7" s="11" t="inlineStr">
        <is>
          <t>Agent Entretien</t>
        </is>
      </c>
      <c r="D7" s="11" t="inlineStr">
        <is>
          <t>Maintenance</t>
        </is>
      </c>
      <c r="E7" s="11" t="inlineStr">
        <is>
          <t>Electrique, chute hauteur, chimique, TMS</t>
        </is>
      </c>
      <c r="F7" s="11" t="inlineStr">
        <is>
          <t>EPI electrique, harnais, gants</t>
        </is>
      </c>
      <c r="G7" s="11" t="inlineStr">
        <is>
          <t>Habilitation electrique, travail hauteur</t>
        </is>
      </c>
      <c r="H7" s="11" t="inlineStr">
        <is>
          <t>Quotidienne</t>
        </is>
      </c>
      <c r="I7" s="11" t="inlineStr">
        <is>
          <t>Eleve</t>
        </is>
      </c>
    </row>
    <row r="8" ht="22" customHeight="1">
      <c r="B8" s="13" t="inlineStr">
        <is>
          <t>FPR-004</t>
        </is>
      </c>
      <c r="C8" s="13" t="inlineStr">
        <is>
          <t>Agent Securite</t>
        </is>
      </c>
      <c r="D8" s="13" t="inlineStr">
        <is>
          <t>Sécurité</t>
        </is>
      </c>
      <c r="E8" s="13" t="inlineStr">
        <is>
          <t>Psychosocial, agression, travail nuit</t>
        </is>
      </c>
      <c r="F8" s="13" t="inlineStr">
        <is>
          <t>Gilet haute visibilite, radio</t>
        </is>
      </c>
      <c r="G8" s="13" t="inlineStr">
        <is>
          <t>Gestion conflits, secourisme</t>
        </is>
      </c>
      <c r="H8" s="13" t="inlineStr">
        <is>
          <t>Quotidienne</t>
        </is>
      </c>
      <c r="I8" s="13" t="inlineStr">
        <is>
          <t>Moyen</t>
        </is>
      </c>
    </row>
    <row r="9" ht="22" customHeight="1">
      <c r="B9" s="11" t="inlineStr">
        <is>
          <t>FPR-005</t>
        </is>
      </c>
      <c r="C9" s="11" t="inlineStr">
        <is>
          <t>Receptionniste</t>
        </is>
      </c>
      <c r="D9" s="11" t="inlineStr">
        <is>
          <t>Réception &amp; Front Office</t>
        </is>
      </c>
      <c r="E9" s="11" t="inlineStr">
        <is>
          <t>Psychosocial, TMS (poste assis)</t>
        </is>
      </c>
      <c r="F9" s="11" t="inlineStr">
        <is>
          <t>Aucun specifique</t>
        </is>
      </c>
      <c r="G9" s="11" t="inlineStr">
        <is>
          <t>Gestion stress, ergonomie poste</t>
        </is>
      </c>
      <c r="H9" s="11" t="inlineStr">
        <is>
          <t>Reguliere</t>
        </is>
      </c>
      <c r="I9" s="11" t="inlineStr">
        <is>
          <t>Faible</t>
        </is>
      </c>
    </row>
    <row r="10" ht="22" customHeight="1">
      <c r="B10" s="13" t="inlineStr">
        <is>
          <t>FPR-006</t>
        </is>
      </c>
      <c r="C10" s="13" t="inlineStr">
        <is>
          <t>Technicien IT</t>
        </is>
      </c>
      <c r="D10" s="13" t="inlineStr">
        <is>
          <t>Maintenance</t>
        </is>
      </c>
      <c r="E10" s="13" t="inlineStr">
        <is>
          <t>Electrique, TMS, visuel</t>
        </is>
      </c>
      <c r="F10" s="13" t="inlineStr">
        <is>
          <t>Aucun specifique</t>
        </is>
      </c>
      <c r="G10" s="13" t="inlineStr">
        <is>
          <t>Secourisme, ergonomie ecran</t>
        </is>
      </c>
      <c r="H10" s="13" t="inlineStr">
        <is>
          <t>Reguliere</t>
        </is>
      </c>
      <c r="I10" s="13" t="inlineStr">
        <is>
          <t>Faible</t>
        </is>
      </c>
    </row>
    <row r="11" ht="22" customHeight="1">
      <c r="B11" s="16">
        <f>IF(C11="","FPR-"&amp;TEXT(COUNTA($C$5:C11),"000"))</f>
        <v/>
      </c>
      <c r="C11" s="11" t="n"/>
      <c r="D11" s="11" t="n"/>
      <c r="E11" s="11" t="n"/>
      <c r="F11" s="11" t="n"/>
      <c r="G11" s="11" t="n"/>
      <c r="H11" s="11" t="n"/>
      <c r="I11" s="11" t="n"/>
    </row>
    <row r="12" ht="22" customHeight="1">
      <c r="B12" s="15">
        <f>IF(C12="","FPR-"&amp;TEXT(COUNTA($C$5:C12),"000"))</f>
        <v/>
      </c>
      <c r="C12" s="13" t="n"/>
      <c r="D12" s="13" t="n"/>
      <c r="E12" s="13" t="n"/>
      <c r="F12" s="13" t="n"/>
      <c r="G12" s="13" t="n"/>
      <c r="H12" s="13" t="n"/>
      <c r="I12" s="13" t="n"/>
    </row>
    <row r="13" ht="22" customHeight="1">
      <c r="B13" s="16">
        <f>IF(C13="","FPR-"&amp;TEXT(COUNTA($C$5:C13),"000"))</f>
        <v/>
      </c>
      <c r="C13" s="11" t="n"/>
      <c r="D13" s="11" t="n"/>
      <c r="E13" s="11" t="n"/>
      <c r="F13" s="11" t="n"/>
      <c r="G13" s="11" t="n"/>
      <c r="H13" s="11" t="n"/>
      <c r="I13" s="11" t="n"/>
    </row>
    <row r="14" ht="22" customHeight="1">
      <c r="B14" s="15">
        <f>IF(C14="","FPR-"&amp;TEXT(COUNTA($C$5:C14),"000"))</f>
        <v/>
      </c>
      <c r="C14" s="13" t="n"/>
      <c r="D14" s="13" t="n"/>
      <c r="E14" s="13" t="n"/>
      <c r="F14" s="13" t="n"/>
      <c r="G14" s="13" t="n"/>
      <c r="H14" s="13" t="n"/>
      <c r="I14" s="13" t="n"/>
    </row>
    <row r="15" ht="22" customHeight="1">
      <c r="B15" s="16">
        <f>IF(C15="","FPR-"&amp;TEXT(COUNTA($C$5:C15),"000"))</f>
        <v/>
      </c>
      <c r="C15" s="11" t="n"/>
      <c r="D15" s="11" t="n"/>
      <c r="E15" s="11" t="n"/>
      <c r="F15" s="11" t="n"/>
      <c r="G15" s="11" t="n"/>
      <c r="H15" s="11" t="n"/>
      <c r="I15" s="11" t="n"/>
    </row>
    <row r="16" ht="22" customHeight="1">
      <c r="B16" s="15">
        <f>IF(C16="","FPR-"&amp;TEXT(COUNTA($C$5:C16),"000"))</f>
        <v/>
      </c>
      <c r="C16" s="13" t="n"/>
      <c r="D16" s="13" t="n"/>
      <c r="E16" s="13" t="n"/>
      <c r="F16" s="13" t="n"/>
      <c r="G16" s="13" t="n"/>
      <c r="H16" s="13" t="n"/>
      <c r="I16" s="13" t="n"/>
    </row>
    <row r="17" ht="22" customHeight="1">
      <c r="B17" s="16">
        <f>IF(C17="","FPR-"&amp;TEXT(COUNTA($C$5:C17),"000"))</f>
        <v/>
      </c>
      <c r="C17" s="11" t="n"/>
      <c r="D17" s="11" t="n"/>
      <c r="E17" s="11" t="n"/>
      <c r="F17" s="11" t="n"/>
      <c r="G17" s="11" t="n"/>
      <c r="H17" s="11" t="n"/>
      <c r="I17" s="11" t="n"/>
    </row>
    <row r="18" ht="22" customHeight="1">
      <c r="B18" s="15">
        <f>IF(C18="","FPR-"&amp;TEXT(COUNTA($C$5:C18),"000"))</f>
        <v/>
      </c>
      <c r="C18" s="13" t="n"/>
      <c r="D18" s="13" t="n"/>
      <c r="E18" s="13" t="n"/>
      <c r="F18" s="13" t="n"/>
      <c r="G18" s="13" t="n"/>
      <c r="H18" s="13" t="n"/>
      <c r="I18" s="13" t="n"/>
    </row>
    <row r="19" ht="22" customHeight="1">
      <c r="B19" s="16">
        <f>IF(C19="","FPR-"&amp;TEXT(COUNTA($C$5:C19),"000"))</f>
        <v/>
      </c>
      <c r="C19" s="11" t="n"/>
      <c r="D19" s="11" t="n"/>
      <c r="E19" s="11" t="n"/>
      <c r="F19" s="11" t="n"/>
      <c r="G19" s="11" t="n"/>
      <c r="H19" s="11" t="n"/>
      <c r="I19" s="11" t="n"/>
    </row>
    <row r="20" ht="22" customHeight="1">
      <c r="B20" s="15">
        <f>IF(C20="","FPR-"&amp;TEXT(COUNTA($C$5:C20),"000"))</f>
        <v/>
      </c>
      <c r="C20" s="13" t="n"/>
      <c r="D20" s="13" t="n"/>
      <c r="E20" s="13" t="n"/>
      <c r="F20" s="13" t="n"/>
      <c r="G20" s="13" t="n"/>
      <c r="H20" s="13" t="n"/>
      <c r="I20" s="13" t="n"/>
    </row>
    <row r="21" ht="22" customHeight="1">
      <c r="B21" s="16">
        <f>IF(C21="","FPR-"&amp;TEXT(COUNTA($C$5:C21),"000"))</f>
        <v/>
      </c>
      <c r="C21" s="11" t="n"/>
      <c r="D21" s="11" t="n"/>
      <c r="E21" s="11" t="n"/>
      <c r="F21" s="11" t="n"/>
      <c r="G21" s="11" t="n"/>
      <c r="H21" s="11" t="n"/>
      <c r="I21" s="11" t="n"/>
    </row>
    <row r="22" ht="22" customHeight="1">
      <c r="B22" s="15">
        <f>IF(C22="","FPR-"&amp;TEXT(COUNTA($C$5:C22),"000"))</f>
        <v/>
      </c>
      <c r="C22" s="13" t="n"/>
      <c r="D22" s="13" t="n"/>
      <c r="E22" s="13" t="n"/>
      <c r="F22" s="13" t="n"/>
      <c r="G22" s="13" t="n"/>
      <c r="H22" s="13" t="n"/>
      <c r="I22" s="13" t="n"/>
    </row>
    <row r="23" ht="22" customHeight="1">
      <c r="B23" s="16">
        <f>IF(C23="","FPR-"&amp;TEXT(COUNTA($C$5:C23),"000"))</f>
        <v/>
      </c>
      <c r="C23" s="11" t="n"/>
      <c r="D23" s="11" t="n"/>
      <c r="E23" s="11" t="n"/>
      <c r="F23" s="11" t="n"/>
      <c r="G23" s="11" t="n"/>
      <c r="H23" s="11" t="n"/>
      <c r="I23" s="11" t="n"/>
    </row>
    <row r="24" ht="22" customHeight="1">
      <c r="B24" s="15">
        <f>IF(C24="","FPR-"&amp;TEXT(COUNTA($C$5:C24),"000"))</f>
        <v/>
      </c>
      <c r="C24" s="13" t="n"/>
      <c r="D24" s="13" t="n"/>
      <c r="E24" s="13" t="n"/>
      <c r="F24" s="13" t="n"/>
      <c r="G24" s="13" t="n"/>
      <c r="H24" s="13" t="n"/>
      <c r="I24" s="13" t="n"/>
    </row>
    <row r="25" ht="22" customHeight="1">
      <c r="B25" s="16">
        <f>IF(C25="","FPR-"&amp;TEXT(COUNTA($C$5:C25),"000"))</f>
        <v/>
      </c>
      <c r="C25" s="11" t="n"/>
      <c r="D25" s="11" t="n"/>
      <c r="E25" s="11" t="n"/>
      <c r="F25" s="11" t="n"/>
      <c r="G25" s="11" t="n"/>
      <c r="H25" s="11" t="n"/>
      <c r="I25" s="11" t="n"/>
    </row>
    <row r="26" ht="22" customHeight="1">
      <c r="B26" s="15">
        <f>IF(C26="","FPR-"&amp;TEXT(COUNTA($C$5:C26),"000"))</f>
        <v/>
      </c>
      <c r="C26" s="13" t="n"/>
      <c r="D26" s="13" t="n"/>
      <c r="E26" s="13" t="n"/>
      <c r="F26" s="13" t="n"/>
      <c r="G26" s="13" t="n"/>
      <c r="H26" s="13" t="n"/>
      <c r="I26" s="13" t="n"/>
    </row>
    <row r="27" ht="22" customHeight="1">
      <c r="B27" s="16">
        <f>IF(C27="","FPR-"&amp;TEXT(COUNTA($C$5:C27),"000"))</f>
        <v/>
      </c>
      <c r="C27" s="11" t="n"/>
      <c r="D27" s="11" t="n"/>
      <c r="E27" s="11" t="n"/>
      <c r="F27" s="11" t="n"/>
      <c r="G27" s="11" t="n"/>
      <c r="H27" s="11" t="n"/>
      <c r="I27" s="11" t="n"/>
    </row>
    <row r="28" ht="22" customHeight="1">
      <c r="B28" s="15">
        <f>IF(C28="","FPR-"&amp;TEXT(COUNTA($C$5:C28),"000"))</f>
        <v/>
      </c>
      <c r="C28" s="13" t="n"/>
      <c r="D28" s="13" t="n"/>
      <c r="E28" s="13" t="n"/>
      <c r="F28" s="13" t="n"/>
      <c r="G28" s="13" t="n"/>
      <c r="H28" s="13" t="n"/>
      <c r="I28" s="13" t="n"/>
    </row>
    <row r="29" ht="22" customHeight="1">
      <c r="B29" s="16">
        <f>IF(C29="","FPR-"&amp;TEXT(COUNTA($C$5:C29),"000"))</f>
        <v/>
      </c>
      <c r="C29" s="11" t="n"/>
      <c r="D29" s="11" t="n"/>
      <c r="E29" s="11" t="n"/>
      <c r="F29" s="11" t="n"/>
      <c r="G29" s="11" t="n"/>
      <c r="H29" s="11" t="n"/>
      <c r="I29" s="11" t="n"/>
    </row>
    <row r="30" ht="22" customHeight="1">
      <c r="B30" s="15">
        <f>IF(C30="","FPR-"&amp;TEXT(COUNTA($C$5:C30),"000"))</f>
        <v/>
      </c>
      <c r="C30" s="13" t="n"/>
      <c r="D30" s="13" t="n"/>
      <c r="E30" s="13" t="n"/>
      <c r="F30" s="13" t="n"/>
      <c r="G30" s="13" t="n"/>
      <c r="H30" s="13" t="n"/>
      <c r="I30" s="13" t="n"/>
    </row>
    <row r="31" ht="22" customHeight="1">
      <c r="B31" s="16">
        <f>IF(C31="","FPR-"&amp;TEXT(COUNTA($C$5:C31),"000"))</f>
        <v/>
      </c>
      <c r="C31" s="11" t="n"/>
      <c r="D31" s="11" t="n"/>
      <c r="E31" s="11" t="n"/>
      <c r="F31" s="11" t="n"/>
      <c r="G31" s="11" t="n"/>
      <c r="H31" s="11" t="n"/>
      <c r="I31" s="11" t="n"/>
    </row>
    <row r="32" ht="22" customHeight="1">
      <c r="B32" s="15">
        <f>IF(C32="","FPR-"&amp;TEXT(COUNTA($C$5:C32),"000"))</f>
        <v/>
      </c>
      <c r="C32" s="13" t="n"/>
      <c r="D32" s="13" t="n"/>
      <c r="E32" s="13" t="n"/>
      <c r="F32" s="13" t="n"/>
      <c r="G32" s="13" t="n"/>
      <c r="H32" s="13" t="n"/>
      <c r="I32" s="13" t="n"/>
    </row>
    <row r="33" ht="22" customHeight="1">
      <c r="B33" s="16">
        <f>IF(C33="","FPR-"&amp;TEXT(COUNTA($C$5:C33),"000"))</f>
        <v/>
      </c>
      <c r="C33" s="11" t="n"/>
      <c r="D33" s="11" t="n"/>
      <c r="E33" s="11" t="n"/>
      <c r="F33" s="11" t="n"/>
      <c r="G33" s="11" t="n"/>
      <c r="H33" s="11" t="n"/>
      <c r="I33" s="11" t="n"/>
    </row>
    <row r="34" ht="22" customHeight="1">
      <c r="B34" s="15">
        <f>IF(C34="","FPR-"&amp;TEXT(COUNTA($C$5:C34),"000"))</f>
        <v/>
      </c>
      <c r="C34" s="13" t="n"/>
      <c r="D34" s="13" t="n"/>
      <c r="E34" s="13" t="n"/>
      <c r="F34" s="13" t="n"/>
      <c r="G34" s="13" t="n"/>
      <c r="H34" s="13" t="n"/>
      <c r="I34" s="13" t="n"/>
    </row>
    <row r="35" ht="22" customHeight="1">
      <c r="B35" s="16">
        <f>IF(C35="","FPR-"&amp;TEXT(COUNTA($C$5:C35),"000"))</f>
        <v/>
      </c>
      <c r="C35" s="11" t="n"/>
      <c r="D35" s="11" t="n"/>
      <c r="E35" s="11" t="n"/>
      <c r="F35" s="11" t="n"/>
      <c r="G35" s="11" t="n"/>
      <c r="H35" s="11" t="n"/>
      <c r="I35" s="11" t="n"/>
    </row>
    <row r="36" ht="22" customHeight="1">
      <c r="B36" s="15">
        <f>IF(C36="","FPR-"&amp;TEXT(COUNTA($C$5:C36),"000"))</f>
        <v/>
      </c>
      <c r="C36" s="13" t="n"/>
      <c r="D36" s="13" t="n"/>
      <c r="E36" s="13" t="n"/>
      <c r="F36" s="13" t="n"/>
      <c r="G36" s="13" t="n"/>
      <c r="H36" s="13" t="n"/>
      <c r="I36" s="13" t="n"/>
    </row>
    <row r="37" ht="22" customHeight="1">
      <c r="B37" s="16">
        <f>IF(C37="","FPR-"&amp;TEXT(COUNTA($C$5:C37),"000"))</f>
        <v/>
      </c>
      <c r="C37" s="11" t="n"/>
      <c r="D37" s="11" t="n"/>
      <c r="E37" s="11" t="n"/>
      <c r="F37" s="11" t="n"/>
      <c r="G37" s="11" t="n"/>
      <c r="H37" s="11" t="n"/>
      <c r="I37" s="11" t="n"/>
    </row>
    <row r="38" ht="22" customHeight="1">
      <c r="B38" s="15">
        <f>IF(C38="","FPR-"&amp;TEXT(COUNTA($C$5:C38),"000"))</f>
        <v/>
      </c>
      <c r="C38" s="13" t="n"/>
      <c r="D38" s="13" t="n"/>
      <c r="E38" s="13" t="n"/>
      <c r="F38" s="13" t="n"/>
      <c r="G38" s="13" t="n"/>
      <c r="H38" s="13" t="n"/>
      <c r="I38" s="13" t="n"/>
    </row>
    <row r="39" ht="22" customHeight="1">
      <c r="B39" s="16">
        <f>IF(C39="","FPR-"&amp;TEXT(COUNTA($C$5:C39),"000"))</f>
        <v/>
      </c>
      <c r="C39" s="11" t="n"/>
      <c r="D39" s="11" t="n"/>
      <c r="E39" s="11" t="n"/>
      <c r="F39" s="11" t="n"/>
      <c r="G39" s="11" t="n"/>
      <c r="H39" s="11" t="n"/>
      <c r="I39" s="11" t="n"/>
    </row>
    <row r="40" ht="22" customHeight="1">
      <c r="B40" s="15">
        <f>IF(C40="","FPR-"&amp;TEXT(COUNTA($C$5:C40),"000"))</f>
        <v/>
      </c>
      <c r="C40" s="13" t="n"/>
      <c r="D40" s="13" t="n"/>
      <c r="E40" s="13" t="n"/>
      <c r="F40" s="13" t="n"/>
      <c r="G40" s="13" t="n"/>
      <c r="H40" s="13" t="n"/>
      <c r="I40" s="13" t="n"/>
    </row>
    <row r="41" ht="22" customHeight="1">
      <c r="B41" s="16">
        <f>IF(C41="","FPR-"&amp;TEXT(COUNTA($C$5:C41),"000"))</f>
        <v/>
      </c>
      <c r="C41" s="11" t="n"/>
      <c r="D41" s="11" t="n"/>
      <c r="E41" s="11" t="n"/>
      <c r="F41" s="11" t="n"/>
      <c r="G41" s="11" t="n"/>
      <c r="H41" s="11" t="n"/>
      <c r="I41" s="11" t="n"/>
    </row>
    <row r="42" ht="22" customHeight="1">
      <c r="B42" s="15">
        <f>IF(C42="","FPR-"&amp;TEXT(COUNTA($C$5:C42),"000"))</f>
        <v/>
      </c>
      <c r="C42" s="13" t="n"/>
      <c r="D42" s="13" t="n"/>
      <c r="E42" s="13" t="n"/>
      <c r="F42" s="13" t="n"/>
      <c r="G42" s="13" t="n"/>
      <c r="H42" s="13" t="n"/>
      <c r="I42" s="13" t="n"/>
    </row>
    <row r="43" ht="22" customHeight="1">
      <c r="B43" s="16">
        <f>IF(C43="","FPR-"&amp;TEXT(COUNTA($C$5:C43),"000"))</f>
        <v/>
      </c>
      <c r="C43" s="11" t="n"/>
      <c r="D43" s="11" t="n"/>
      <c r="E43" s="11" t="n"/>
      <c r="F43" s="11" t="n"/>
      <c r="G43" s="11" t="n"/>
      <c r="H43" s="11" t="n"/>
      <c r="I43" s="11" t="n"/>
    </row>
    <row r="44" ht="22" customHeight="1">
      <c r="B44" s="15">
        <f>IF(C44="","FPR-"&amp;TEXT(COUNTA($C$5:C44),"000"))</f>
        <v/>
      </c>
      <c r="C44" s="13" t="n"/>
      <c r="D44" s="13" t="n"/>
      <c r="E44" s="13" t="n"/>
      <c r="F44" s="13" t="n"/>
      <c r="G44" s="13" t="n"/>
      <c r="H44" s="13" t="n"/>
      <c r="I44" s="13" t="n"/>
    </row>
    <row r="45" ht="22" customHeight="1">
      <c r="B45" s="16">
        <f>IF(C45="","FPR-"&amp;TEXT(COUNTA($C$5:C45),"000"))</f>
        <v/>
      </c>
      <c r="C45" s="11" t="n"/>
      <c r="D45" s="11" t="n"/>
      <c r="E45" s="11" t="n"/>
      <c r="F45" s="11" t="n"/>
      <c r="G45" s="11" t="n"/>
      <c r="H45" s="11" t="n"/>
      <c r="I45" s="11" t="n"/>
    </row>
    <row r="46" ht="22" customHeight="1">
      <c r="B46" s="15">
        <f>IF(C46="","FPR-"&amp;TEXT(COUNTA($C$5:C46),"000"))</f>
        <v/>
      </c>
      <c r="C46" s="13" t="n"/>
      <c r="D46" s="13" t="n"/>
      <c r="E46" s="13" t="n"/>
      <c r="F46" s="13" t="n"/>
      <c r="G46" s="13" t="n"/>
      <c r="H46" s="13" t="n"/>
      <c r="I46" s="13" t="n"/>
    </row>
    <row r="47" ht="22" customHeight="1">
      <c r="B47" s="16">
        <f>IF(C47="","FPR-"&amp;TEXT(COUNTA($C$5:C47),"000"))</f>
        <v/>
      </c>
      <c r="C47" s="11" t="n"/>
      <c r="D47" s="11" t="n"/>
      <c r="E47" s="11" t="n"/>
      <c r="F47" s="11" t="n"/>
      <c r="G47" s="11" t="n"/>
      <c r="H47" s="11" t="n"/>
      <c r="I47" s="11" t="n"/>
    </row>
    <row r="48" ht="22" customHeight="1">
      <c r="B48" s="15">
        <f>IF(C48="","FPR-"&amp;TEXT(COUNTA($C$5:C48),"000"))</f>
        <v/>
      </c>
      <c r="C48" s="13" t="n"/>
      <c r="D48" s="13" t="n"/>
      <c r="E48" s="13" t="n"/>
      <c r="F48" s="13" t="n"/>
      <c r="G48" s="13" t="n"/>
      <c r="H48" s="13" t="n"/>
      <c r="I48" s="13" t="n"/>
    </row>
    <row r="49" ht="22" customHeight="1">
      <c r="B49" s="16">
        <f>IF(C49="","FPR-"&amp;TEXT(COUNTA($C$5:C49),"000"))</f>
        <v/>
      </c>
      <c r="C49" s="11" t="n"/>
      <c r="D49" s="11" t="n"/>
      <c r="E49" s="11" t="n"/>
      <c r="F49" s="11" t="n"/>
      <c r="G49" s="11" t="n"/>
      <c r="H49" s="11" t="n"/>
      <c r="I49" s="11" t="n"/>
    </row>
    <row r="50" ht="22" customHeight="1">
      <c r="B50" s="15">
        <f>IF(C50="","FPR-"&amp;TEXT(COUNTA($C$5:C50),"000"))</f>
        <v/>
      </c>
      <c r="C50" s="13" t="n"/>
      <c r="D50" s="13" t="n"/>
      <c r="E50" s="13" t="n"/>
      <c r="F50" s="13" t="n"/>
      <c r="G50" s="13" t="n"/>
      <c r="H50" s="13" t="n"/>
      <c r="I50" s="13" t="n"/>
    </row>
    <row r="51" ht="22" customHeight="1">
      <c r="B51" s="16">
        <f>IF(C51="","FPR-"&amp;TEXT(COUNTA($C$5:C51),"000"))</f>
        <v/>
      </c>
      <c r="C51" s="11" t="n"/>
      <c r="D51" s="11" t="n"/>
      <c r="E51" s="11" t="n"/>
      <c r="F51" s="11" t="n"/>
      <c r="G51" s="11" t="n"/>
      <c r="H51" s="11" t="n"/>
      <c r="I51" s="11" t="n"/>
    </row>
    <row r="52" ht="22" customHeight="1">
      <c r="B52" s="15">
        <f>IF(C52="","FPR-"&amp;TEXT(COUNTA($C$5:C52),"000"))</f>
        <v/>
      </c>
      <c r="C52" s="13" t="n"/>
      <c r="D52" s="13" t="n"/>
      <c r="E52" s="13" t="n"/>
      <c r="F52" s="13" t="n"/>
      <c r="G52" s="13" t="n"/>
      <c r="H52" s="13" t="n"/>
      <c r="I52" s="13" t="n"/>
    </row>
    <row r="53" ht="22" customHeight="1">
      <c r="B53" s="16">
        <f>IF(C53="","FPR-"&amp;TEXT(COUNTA($C$5:C53),"000"))</f>
        <v/>
      </c>
      <c r="C53" s="11" t="n"/>
      <c r="D53" s="11" t="n"/>
      <c r="E53" s="11" t="n"/>
      <c r="F53" s="11" t="n"/>
      <c r="G53" s="11" t="n"/>
      <c r="H53" s="11" t="n"/>
      <c r="I53" s="11" t="n"/>
    </row>
    <row r="54" ht="22" customHeight="1">
      <c r="B54" s="15">
        <f>IF(C54="","FPR-"&amp;TEXT(COUNTA($C$5:C54),"000"))</f>
        <v/>
      </c>
      <c r="C54" s="13" t="n"/>
      <c r="D54" s="13" t="n"/>
      <c r="E54" s="13" t="n"/>
      <c r="F54" s="13" t="n"/>
      <c r="G54" s="13" t="n"/>
      <c r="H54" s="13" t="n"/>
      <c r="I54" s="13" t="n"/>
    </row>
    <row r="55" ht="22" customHeight="1">
      <c r="B55" s="16">
        <f>IF(C55="","FPR-"&amp;TEXT(COUNTA($C$5:C55),"000"))</f>
        <v/>
      </c>
      <c r="C55" s="11" t="n"/>
      <c r="D55" s="11" t="n"/>
      <c r="E55" s="11" t="n"/>
      <c r="F55" s="11" t="n"/>
      <c r="G55" s="11" t="n"/>
      <c r="H55" s="11" t="n"/>
      <c r="I55" s="11" t="n"/>
    </row>
    <row r="56" ht="22" customHeight="1">
      <c r="B56" s="15">
        <f>IF(C56="","FPR-"&amp;TEXT(COUNTA($C$5:C56),"000"))</f>
        <v/>
      </c>
      <c r="C56" s="13" t="n"/>
      <c r="D56" s="13" t="n"/>
      <c r="E56" s="13" t="n"/>
      <c r="F56" s="13" t="n"/>
      <c r="G56" s="13" t="n"/>
      <c r="H56" s="13" t="n"/>
      <c r="I56" s="13" t="n"/>
    </row>
    <row r="57" ht="22" customHeight="1">
      <c r="B57" s="16">
        <f>IF(C57="","FPR-"&amp;TEXT(COUNTA($C$5:C57),"000"))</f>
        <v/>
      </c>
      <c r="C57" s="11" t="n"/>
      <c r="D57" s="11" t="n"/>
      <c r="E57" s="11" t="n"/>
      <c r="F57" s="11" t="n"/>
      <c r="G57" s="11" t="n"/>
      <c r="H57" s="11" t="n"/>
      <c r="I57" s="11" t="n"/>
    </row>
    <row r="58" ht="22" customHeight="1">
      <c r="B58" s="15">
        <f>IF(C58="","FPR-"&amp;TEXT(COUNTA($C$5:C58),"000"))</f>
        <v/>
      </c>
      <c r="C58" s="13" t="n"/>
      <c r="D58" s="13" t="n"/>
      <c r="E58" s="13" t="n"/>
      <c r="F58" s="13" t="n"/>
      <c r="G58" s="13" t="n"/>
      <c r="H58" s="13" t="n"/>
      <c r="I58" s="13" t="n"/>
    </row>
    <row r="59" ht="22" customHeight="1">
      <c r="B59" s="16">
        <f>IF(C59="","FPR-"&amp;TEXT(COUNTA($C$5:C59),"000"))</f>
        <v/>
      </c>
      <c r="C59" s="11" t="n"/>
      <c r="D59" s="11" t="n"/>
      <c r="E59" s="11" t="n"/>
      <c r="F59" s="11" t="n"/>
      <c r="G59" s="11" t="n"/>
      <c r="H59" s="11" t="n"/>
      <c r="I59" s="11" t="n"/>
    </row>
    <row r="60" ht="22" customHeight="1">
      <c r="B60" s="15">
        <f>IF(C60="","FPR-"&amp;TEXT(COUNTA($C$5:C60),"000"))</f>
        <v/>
      </c>
      <c r="C60" s="13" t="n"/>
      <c r="D60" s="13" t="n"/>
      <c r="E60" s="13" t="n"/>
      <c r="F60" s="13" t="n"/>
      <c r="G60" s="13" t="n"/>
      <c r="H60" s="13" t="n"/>
      <c r="I60" s="13" t="n"/>
    </row>
    <row r="61" ht="22" customHeight="1">
      <c r="B61" s="16">
        <f>IF(C61="","FPR-"&amp;TEXT(COUNTA($C$5:C61),"000"))</f>
        <v/>
      </c>
      <c r="C61" s="11" t="n"/>
      <c r="D61" s="11" t="n"/>
      <c r="E61" s="11" t="n"/>
      <c r="F61" s="11" t="n"/>
      <c r="G61" s="11" t="n"/>
      <c r="H61" s="11" t="n"/>
      <c r="I61" s="11" t="n"/>
    </row>
    <row r="62" ht="22" customHeight="1">
      <c r="B62" s="15">
        <f>IF(C62="","FPR-"&amp;TEXT(COUNTA($C$5:C62),"000"))</f>
        <v/>
      </c>
      <c r="C62" s="13" t="n"/>
      <c r="D62" s="13" t="n"/>
      <c r="E62" s="13" t="n"/>
      <c r="F62" s="13" t="n"/>
      <c r="G62" s="13" t="n"/>
      <c r="H62" s="13" t="n"/>
      <c r="I62" s="13" t="n"/>
    </row>
    <row r="63" ht="22" customHeight="1">
      <c r="B63" s="16">
        <f>IF(C63="","FPR-"&amp;TEXT(COUNTA($C$5:C63),"000"))</f>
        <v/>
      </c>
      <c r="C63" s="11" t="n"/>
      <c r="D63" s="11" t="n"/>
      <c r="E63" s="11" t="n"/>
      <c r="F63" s="11" t="n"/>
      <c r="G63" s="11" t="n"/>
      <c r="H63" s="11" t="n"/>
      <c r="I63" s="11" t="n"/>
    </row>
    <row r="64" ht="22" customHeight="1">
      <c r="B64" s="15">
        <f>IF(C64="","FPR-"&amp;TEXT(COUNTA($C$5:C64),"000"))</f>
        <v/>
      </c>
      <c r="C64" s="13" t="n"/>
      <c r="D64" s="13" t="n"/>
      <c r="E64" s="13" t="n"/>
      <c r="F64" s="13" t="n"/>
      <c r="G64" s="13" t="n"/>
      <c r="H64" s="13" t="n"/>
      <c r="I64" s="13" t="n"/>
    </row>
    <row r="65" ht="22" customHeight="1">
      <c r="B65" s="16">
        <f>IF(C65="","FPR-"&amp;TEXT(COUNTA($C$5:C65),"000"))</f>
        <v/>
      </c>
      <c r="C65" s="11" t="n"/>
      <c r="D65" s="11" t="n"/>
      <c r="E65" s="11" t="n"/>
      <c r="F65" s="11" t="n"/>
      <c r="G65" s="11" t="n"/>
      <c r="H65" s="11" t="n"/>
      <c r="I65" s="11" t="n"/>
    </row>
    <row r="66" ht="22" customHeight="1">
      <c r="B66" s="15">
        <f>IF(C66="","FPR-"&amp;TEXT(COUNTA($C$5:C66),"000"))</f>
        <v/>
      </c>
      <c r="C66" s="13" t="n"/>
      <c r="D66" s="13" t="n"/>
      <c r="E66" s="13" t="n"/>
      <c r="F66" s="13" t="n"/>
      <c r="G66" s="13" t="n"/>
      <c r="H66" s="13" t="n"/>
      <c r="I66" s="13" t="n"/>
    </row>
    <row r="67" ht="22" customHeight="1">
      <c r="B67" s="16">
        <f>IF(C67="","FPR-"&amp;TEXT(COUNTA($C$5:C67),"000"))</f>
        <v/>
      </c>
      <c r="C67" s="11" t="n"/>
      <c r="D67" s="11" t="n"/>
      <c r="E67" s="11" t="n"/>
      <c r="F67" s="11" t="n"/>
      <c r="G67" s="11" t="n"/>
      <c r="H67" s="11" t="n"/>
      <c r="I67" s="11" t="n"/>
    </row>
    <row r="68" ht="22" customHeight="1">
      <c r="B68" s="15">
        <f>IF(C68="","FPR-"&amp;TEXT(COUNTA($C$5:C68),"000"))</f>
        <v/>
      </c>
      <c r="C68" s="13" t="n"/>
      <c r="D68" s="13" t="n"/>
      <c r="E68" s="13" t="n"/>
      <c r="F68" s="13" t="n"/>
      <c r="G68" s="13" t="n"/>
      <c r="H68" s="13" t="n"/>
      <c r="I68" s="13" t="n"/>
    </row>
    <row r="69" ht="22" customHeight="1">
      <c r="B69" s="16">
        <f>IF(C69="","FPR-"&amp;TEXT(COUNTA($C$5:C69),"000"))</f>
        <v/>
      </c>
      <c r="C69" s="11" t="n"/>
      <c r="D69" s="11" t="n"/>
      <c r="E69" s="11" t="n"/>
      <c r="F69" s="11" t="n"/>
      <c r="G69" s="11" t="n"/>
      <c r="H69" s="11" t="n"/>
      <c r="I69" s="11" t="n"/>
    </row>
    <row r="70" ht="22" customHeight="1">
      <c r="B70" s="15">
        <f>IF(C70="","FPR-"&amp;TEXT(COUNTA($C$5:C70),"000"))</f>
        <v/>
      </c>
      <c r="C70" s="13" t="n"/>
      <c r="D70" s="13" t="n"/>
      <c r="E70" s="13" t="n"/>
      <c r="F70" s="13" t="n"/>
      <c r="G70" s="13" t="n"/>
      <c r="H70" s="13" t="n"/>
      <c r="I70" s="13" t="n"/>
    </row>
    <row r="71" ht="22" customHeight="1">
      <c r="B71" s="16">
        <f>IF(C71="","FPR-"&amp;TEXT(COUNTA($C$5:C71),"000"))</f>
        <v/>
      </c>
      <c r="C71" s="11" t="n"/>
      <c r="D71" s="11" t="n"/>
      <c r="E71" s="11" t="n"/>
      <c r="F71" s="11" t="n"/>
      <c r="G71" s="11" t="n"/>
      <c r="H71" s="11" t="n"/>
      <c r="I71" s="11" t="n"/>
    </row>
    <row r="72" ht="22" customHeight="1">
      <c r="B72" s="15">
        <f>IF(C72="","FPR-"&amp;TEXT(COUNTA($C$5:C72),"000"))</f>
        <v/>
      </c>
      <c r="C72" s="13" t="n"/>
      <c r="D72" s="13" t="n"/>
      <c r="E72" s="13" t="n"/>
      <c r="F72" s="13" t="n"/>
      <c r="G72" s="13" t="n"/>
      <c r="H72" s="13" t="n"/>
      <c r="I72" s="13" t="n"/>
    </row>
    <row r="73" ht="22" customHeight="1">
      <c r="B73" s="16">
        <f>IF(C73="","FPR-"&amp;TEXT(COUNTA($C$5:C73),"000"))</f>
        <v/>
      </c>
      <c r="C73" s="11" t="n"/>
      <c r="D73" s="11" t="n"/>
      <c r="E73" s="11" t="n"/>
      <c r="F73" s="11" t="n"/>
      <c r="G73" s="11" t="n"/>
      <c r="H73" s="11" t="n"/>
      <c r="I73" s="11" t="n"/>
    </row>
    <row r="74" ht="22" customHeight="1">
      <c r="B74" s="15">
        <f>IF(C74="","FPR-"&amp;TEXT(COUNTA($C$5:C74),"000"))</f>
        <v/>
      </c>
      <c r="C74" s="13" t="n"/>
      <c r="D74" s="13" t="n"/>
      <c r="E74" s="13" t="n"/>
      <c r="F74" s="13" t="n"/>
      <c r="G74" s="13" t="n"/>
      <c r="H74" s="13" t="n"/>
      <c r="I74" s="13" t="n"/>
    </row>
    <row r="75" ht="22" customHeight="1">
      <c r="B75" s="16">
        <f>IF(C75="","FPR-"&amp;TEXT(COUNTA($C$5:C75),"000"))</f>
        <v/>
      </c>
      <c r="C75" s="11" t="n"/>
      <c r="D75" s="11" t="n"/>
      <c r="E75" s="11" t="n"/>
      <c r="F75" s="11" t="n"/>
      <c r="G75" s="11" t="n"/>
      <c r="H75" s="11" t="n"/>
      <c r="I75" s="11" t="n"/>
    </row>
    <row r="76" ht="22" customHeight="1">
      <c r="B76" s="15">
        <f>IF(C76="","FPR-"&amp;TEXT(COUNTA($C$5:C76),"000"))</f>
        <v/>
      </c>
      <c r="C76" s="13" t="n"/>
      <c r="D76" s="13" t="n"/>
      <c r="E76" s="13" t="n"/>
      <c r="F76" s="13" t="n"/>
      <c r="G76" s="13" t="n"/>
      <c r="H76" s="13" t="n"/>
      <c r="I76" s="13" t="n"/>
    </row>
    <row r="77" ht="22" customHeight="1">
      <c r="B77" s="16">
        <f>IF(C77="","FPR-"&amp;TEXT(COUNTA($C$5:C77),"000"))</f>
        <v/>
      </c>
      <c r="C77" s="11" t="n"/>
      <c r="D77" s="11" t="n"/>
      <c r="E77" s="11" t="n"/>
      <c r="F77" s="11" t="n"/>
      <c r="G77" s="11" t="n"/>
      <c r="H77" s="11" t="n"/>
      <c r="I77" s="11" t="n"/>
    </row>
    <row r="78" ht="22" customHeight="1">
      <c r="B78" s="15">
        <f>IF(C78="","FPR-"&amp;TEXT(COUNTA($C$5:C78),"000"))</f>
        <v/>
      </c>
      <c r="C78" s="13" t="n"/>
      <c r="D78" s="13" t="n"/>
      <c r="E78" s="13" t="n"/>
      <c r="F78" s="13" t="n"/>
      <c r="G78" s="13" t="n"/>
      <c r="H78" s="13" t="n"/>
      <c r="I78" s="13" t="n"/>
    </row>
    <row r="79" ht="22" customHeight="1">
      <c r="B79" s="16">
        <f>IF(C79="","FPR-"&amp;TEXT(COUNTA($C$5:C79),"000"))</f>
        <v/>
      </c>
      <c r="C79" s="11" t="n"/>
      <c r="D79" s="11" t="n"/>
      <c r="E79" s="11" t="n"/>
      <c r="F79" s="11" t="n"/>
      <c r="G79" s="11" t="n"/>
      <c r="H79" s="11" t="n"/>
      <c r="I79" s="11" t="n"/>
    </row>
    <row r="80" ht="22" customHeight="1">
      <c r="B80" s="15">
        <f>IF(C80="","FPR-"&amp;TEXT(COUNTA($C$5:C80),"000"))</f>
        <v/>
      </c>
      <c r="C80" s="13" t="n"/>
      <c r="D80" s="13" t="n"/>
      <c r="E80" s="13" t="n"/>
      <c r="F80" s="13" t="n"/>
      <c r="G80" s="13" t="n"/>
      <c r="H80" s="13" t="n"/>
      <c r="I80" s="13" t="n"/>
    </row>
    <row r="81" ht="22" customHeight="1">
      <c r="B81" s="16">
        <f>IF(C81="","FPR-"&amp;TEXT(COUNTA($C$5:C81),"000"))</f>
        <v/>
      </c>
      <c r="C81" s="11" t="n"/>
      <c r="D81" s="11" t="n"/>
      <c r="E81" s="11" t="n"/>
      <c r="F81" s="11" t="n"/>
      <c r="G81" s="11" t="n"/>
      <c r="H81" s="11" t="n"/>
      <c r="I81" s="11" t="n"/>
    </row>
    <row r="82" ht="22" customHeight="1">
      <c r="B82" s="15">
        <f>IF(C82="","FPR-"&amp;TEXT(COUNTA($C$5:C82),"000"))</f>
        <v/>
      </c>
      <c r="C82" s="13" t="n"/>
      <c r="D82" s="13" t="n"/>
      <c r="E82" s="13" t="n"/>
      <c r="F82" s="13" t="n"/>
      <c r="G82" s="13" t="n"/>
      <c r="H82" s="13" t="n"/>
      <c r="I82" s="13" t="n"/>
    </row>
    <row r="83" ht="22" customHeight="1">
      <c r="B83" s="16">
        <f>IF(C83="","FPR-"&amp;TEXT(COUNTA($C$5:C83),"000"))</f>
        <v/>
      </c>
      <c r="C83" s="11" t="n"/>
      <c r="D83" s="11" t="n"/>
      <c r="E83" s="11" t="n"/>
      <c r="F83" s="11" t="n"/>
      <c r="G83" s="11" t="n"/>
      <c r="H83" s="11" t="n"/>
      <c r="I83" s="11" t="n"/>
    </row>
    <row r="84" ht="22" customHeight="1">
      <c r="B84" s="15">
        <f>IF(C84="","FPR-"&amp;TEXT(COUNTA($C$5:C84),"000"))</f>
        <v/>
      </c>
      <c r="C84" s="13" t="n"/>
      <c r="D84" s="13" t="n"/>
      <c r="E84" s="13" t="n"/>
      <c r="F84" s="13" t="n"/>
      <c r="G84" s="13" t="n"/>
      <c r="H84" s="13" t="n"/>
      <c r="I84" s="13" t="n"/>
    </row>
    <row r="85" ht="22" customHeight="1">
      <c r="B85" s="16">
        <f>IF(C85="","FPR-"&amp;TEXT(COUNTA($C$5:C85),"000"))</f>
        <v/>
      </c>
      <c r="C85" s="11" t="n"/>
      <c r="D85" s="11" t="n"/>
      <c r="E85" s="11" t="n"/>
      <c r="F85" s="11" t="n"/>
      <c r="G85" s="11" t="n"/>
      <c r="H85" s="11" t="n"/>
      <c r="I85" s="11" t="n"/>
    </row>
    <row r="86" ht="22" customHeight="1">
      <c r="B86" s="15">
        <f>IF(C86="","FPR-"&amp;TEXT(COUNTA($C$5:C86),"000"))</f>
        <v/>
      </c>
      <c r="C86" s="13" t="n"/>
      <c r="D86" s="13" t="n"/>
      <c r="E86" s="13" t="n"/>
      <c r="F86" s="13" t="n"/>
      <c r="G86" s="13" t="n"/>
      <c r="H86" s="13" t="n"/>
      <c r="I86" s="13" t="n"/>
    </row>
    <row r="87" ht="22" customHeight="1">
      <c r="B87" s="16">
        <f>IF(C87="","FPR-"&amp;TEXT(COUNTA($C$5:C87),"000"))</f>
        <v/>
      </c>
      <c r="C87" s="11" t="n"/>
      <c r="D87" s="11" t="n"/>
      <c r="E87" s="11" t="n"/>
      <c r="F87" s="11" t="n"/>
      <c r="G87" s="11" t="n"/>
      <c r="H87" s="11" t="n"/>
      <c r="I87" s="11" t="n"/>
    </row>
    <row r="88" ht="22" customHeight="1">
      <c r="B88" s="15">
        <f>IF(C88="","FPR-"&amp;TEXT(COUNTA($C$5:C88),"000"))</f>
        <v/>
      </c>
      <c r="C88" s="13" t="n"/>
      <c r="D88" s="13" t="n"/>
      <c r="E88" s="13" t="n"/>
      <c r="F88" s="13" t="n"/>
      <c r="G88" s="13" t="n"/>
      <c r="H88" s="13" t="n"/>
      <c r="I88" s="13" t="n"/>
    </row>
    <row r="89" ht="22" customHeight="1">
      <c r="B89" s="16">
        <f>IF(C89="","FPR-"&amp;TEXT(COUNTA($C$5:C89),"000"))</f>
        <v/>
      </c>
      <c r="C89" s="11" t="n"/>
      <c r="D89" s="11" t="n"/>
      <c r="E89" s="11" t="n"/>
      <c r="F89" s="11" t="n"/>
      <c r="G89" s="11" t="n"/>
      <c r="H89" s="11" t="n"/>
      <c r="I89" s="11" t="n"/>
    </row>
    <row r="90" ht="22" customHeight="1">
      <c r="B90" s="15">
        <f>IF(C90="","FPR-"&amp;TEXT(COUNTA($C$5:C90),"000"))</f>
        <v/>
      </c>
      <c r="C90" s="13" t="n"/>
      <c r="D90" s="13" t="n"/>
      <c r="E90" s="13" t="n"/>
      <c r="F90" s="13" t="n"/>
      <c r="G90" s="13" t="n"/>
      <c r="H90" s="13" t="n"/>
      <c r="I90" s="13" t="n"/>
    </row>
    <row r="91" ht="22" customHeight="1">
      <c r="B91" s="16">
        <f>IF(C91="","FPR-"&amp;TEXT(COUNTA($C$5:C91),"000"))</f>
        <v/>
      </c>
      <c r="C91" s="11" t="n"/>
      <c r="D91" s="11" t="n"/>
      <c r="E91" s="11" t="n"/>
      <c r="F91" s="11" t="n"/>
      <c r="G91" s="11" t="n"/>
      <c r="H91" s="11" t="n"/>
      <c r="I91" s="11" t="n"/>
    </row>
    <row r="92" ht="22" customHeight="1">
      <c r="B92" s="15">
        <f>IF(C92="","FPR-"&amp;TEXT(COUNTA($C$5:C92),"000"))</f>
        <v/>
      </c>
      <c r="C92" s="13" t="n"/>
      <c r="D92" s="13" t="n"/>
      <c r="E92" s="13" t="n"/>
      <c r="F92" s="13" t="n"/>
      <c r="G92" s="13" t="n"/>
      <c r="H92" s="13" t="n"/>
      <c r="I92" s="13" t="n"/>
    </row>
    <row r="93" ht="22" customHeight="1">
      <c r="B93" s="16">
        <f>IF(C93="","FPR-"&amp;TEXT(COUNTA($C$5:C93),"000"))</f>
        <v/>
      </c>
      <c r="C93" s="11" t="n"/>
      <c r="D93" s="11" t="n"/>
      <c r="E93" s="11" t="n"/>
      <c r="F93" s="11" t="n"/>
      <c r="G93" s="11" t="n"/>
      <c r="H93" s="11" t="n"/>
      <c r="I93" s="11" t="n"/>
    </row>
    <row r="94" ht="22" customHeight="1">
      <c r="B94" s="15">
        <f>IF(C94="","FPR-"&amp;TEXT(COUNTA($C$5:C94),"000"))</f>
        <v/>
      </c>
      <c r="C94" s="13" t="n"/>
      <c r="D94" s="13" t="n"/>
      <c r="E94" s="13" t="n"/>
      <c r="F94" s="13" t="n"/>
      <c r="G94" s="13" t="n"/>
      <c r="H94" s="13" t="n"/>
      <c r="I94" s="13" t="n"/>
    </row>
    <row r="95" ht="22" customHeight="1">
      <c r="B95" s="16">
        <f>IF(C95="","FPR-"&amp;TEXT(COUNTA($C$5:C95),"000"))</f>
        <v/>
      </c>
      <c r="C95" s="11" t="n"/>
      <c r="D95" s="11" t="n"/>
      <c r="E95" s="11" t="n"/>
      <c r="F95" s="11" t="n"/>
      <c r="G95" s="11" t="n"/>
      <c r="H95" s="11" t="n"/>
      <c r="I95" s="11" t="n"/>
    </row>
    <row r="96" ht="22" customHeight="1">
      <c r="B96" s="15">
        <f>IF(C96="","FPR-"&amp;TEXT(COUNTA($C$5:C96),"000"))</f>
        <v/>
      </c>
      <c r="C96" s="13" t="n"/>
      <c r="D96" s="13" t="n"/>
      <c r="E96" s="13" t="n"/>
      <c r="F96" s="13" t="n"/>
      <c r="G96" s="13" t="n"/>
      <c r="H96" s="13" t="n"/>
      <c r="I96" s="13" t="n"/>
    </row>
    <row r="97" ht="22" customHeight="1">
      <c r="B97" s="16">
        <f>IF(C97="","FPR-"&amp;TEXT(COUNTA($C$5:C97),"000"))</f>
        <v/>
      </c>
      <c r="C97" s="11" t="n"/>
      <c r="D97" s="11" t="n"/>
      <c r="E97" s="11" t="n"/>
      <c r="F97" s="11" t="n"/>
      <c r="G97" s="11" t="n"/>
      <c r="H97" s="11" t="n"/>
      <c r="I97" s="11" t="n"/>
    </row>
    <row r="98" ht="22" customHeight="1">
      <c r="B98" s="15">
        <f>IF(C98="","FPR-"&amp;TEXT(COUNTA($C$5:C98),"000"))</f>
        <v/>
      </c>
      <c r="C98" s="13" t="n"/>
      <c r="D98" s="13" t="n"/>
      <c r="E98" s="13" t="n"/>
      <c r="F98" s="13" t="n"/>
      <c r="G98" s="13" t="n"/>
      <c r="H98" s="13" t="n"/>
      <c r="I98" s="13" t="n"/>
    </row>
    <row r="99" ht="22" customHeight="1">
      <c r="B99" s="16">
        <f>IF(C99="","FPR-"&amp;TEXT(COUNTA($C$5:C99),"000"))</f>
        <v/>
      </c>
      <c r="C99" s="11" t="n"/>
      <c r="D99" s="11" t="n"/>
      <c r="E99" s="11" t="n"/>
      <c r="F99" s="11" t="n"/>
      <c r="G99" s="11" t="n"/>
      <c r="H99" s="11" t="n"/>
      <c r="I99" s="11" t="n"/>
    </row>
    <row r="100" ht="22" customHeight="1">
      <c r="B100" s="15">
        <f>IF(C100="","FPR-"&amp;TEXT(COUNTA($C$5:C100),"000"))</f>
        <v/>
      </c>
      <c r="C100" s="13" t="n"/>
      <c r="D100" s="13" t="n"/>
      <c r="E100" s="13" t="n"/>
      <c r="F100" s="13" t="n"/>
      <c r="G100" s="13" t="n"/>
      <c r="H100" s="13" t="n"/>
      <c r="I100" s="13" t="n"/>
    </row>
    <row r="101" ht="22" customHeight="1">
      <c r="B101" s="16">
        <f>IF(C101="","FPR-"&amp;TEXT(COUNTA($C$5:C101),"000"))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11" t="n"/>
    </row>
    <row r="102" ht="22" customHeight="1">
      <c r="B102" s="15">
        <f>IF(C102="","FPR-"&amp;TEXT(COUNTA($C$5:C102),"000"))</f>
        <v/>
      </c>
      <c r="C102" s="13" t="n"/>
      <c r="D102" s="13" t="n"/>
      <c r="E102" s="13" t="n"/>
      <c r="F102" s="13" t="n"/>
      <c r="G102" s="13" t="n"/>
      <c r="H102" s="13" t="n"/>
      <c r="I102" s="13" t="n"/>
    </row>
    <row r="103" ht="22" customHeight="1">
      <c r="B103" s="16">
        <f>IF(C103="","FPR-"&amp;TEXT(COUNTA($C$5:C103),"000"))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11" t="n"/>
    </row>
    <row r="104" ht="22" customHeight="1">
      <c r="B104" s="15">
        <f>IF(C104="","FPR-"&amp;TEXT(COUNTA($C$5:C104),"000"))</f>
        <v/>
      </c>
      <c r="C104" s="13" t="n"/>
      <c r="D104" s="13" t="n"/>
      <c r="E104" s="13" t="n"/>
      <c r="F104" s="13" t="n"/>
      <c r="G104" s="13" t="n"/>
      <c r="H104" s="13" t="n"/>
      <c r="I104" s="13" t="n"/>
    </row>
    <row r="105" ht="22" customHeight="1">
      <c r="B105" s="16">
        <f>IF(C105="","FPR-"&amp;TEXT(COUNTA($C$5:C105),"000"))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11" t="n"/>
    </row>
    <row r="106" ht="22" customHeight="1">
      <c r="B106" s="15">
        <f>IF(C106="","FPR-"&amp;TEXT(COUNTA($C$5:C106),"000"))</f>
        <v/>
      </c>
      <c r="C106" s="13" t="n"/>
      <c r="D106" s="13" t="n"/>
      <c r="E106" s="13" t="n"/>
      <c r="F106" s="13" t="n"/>
      <c r="G106" s="13" t="n"/>
      <c r="H106" s="13" t="n"/>
      <c r="I106" s="13" t="n"/>
    </row>
    <row r="107" ht="22" customHeight="1">
      <c r="B107" s="16">
        <f>IF(C107="","FPR-"&amp;TEXT(COUNTA($C$5:C107),"000"))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11" t="n"/>
    </row>
    <row r="108" ht="22" customHeight="1">
      <c r="B108" s="15">
        <f>IF(C108="","FPR-"&amp;TEXT(COUNTA($C$5:C108),"000"))</f>
        <v/>
      </c>
      <c r="C108" s="13" t="n"/>
      <c r="D108" s="13" t="n"/>
      <c r="E108" s="13" t="n"/>
      <c r="F108" s="13" t="n"/>
      <c r="G108" s="13" t="n"/>
      <c r="H108" s="13" t="n"/>
      <c r="I108" s="13" t="n"/>
    </row>
    <row r="109" ht="22" customHeight="1">
      <c r="B109" s="16">
        <f>IF(C109="","FPR-"&amp;TEXT(COUNTA($C$5:C109),"000"))</f>
        <v/>
      </c>
      <c r="C109" s="11" t="n"/>
      <c r="D109" s="11" t="n"/>
      <c r="E109" s="11" t="n"/>
      <c r="F109" s="11" t="n"/>
      <c r="G109" s="11" t="n"/>
      <c r="H109" s="11" t="n"/>
      <c r="I109" s="11" t="n"/>
    </row>
    <row r="110" ht="22" customHeight="1">
      <c r="B110" s="15">
        <f>IF(C110="","FPR-"&amp;TEXT(COUNTA($C$5:C110),"000"))</f>
        <v/>
      </c>
      <c r="C110" s="13" t="n"/>
      <c r="D110" s="13" t="n"/>
      <c r="E110" s="13" t="n"/>
      <c r="F110" s="13" t="n"/>
      <c r="G110" s="13" t="n"/>
      <c r="H110" s="13" t="n"/>
      <c r="I110" s="13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Fiches de poste</t>
        </is>
      </c>
      <c r="D113" s="3" t="inlineStr">
        <is>
          <t>Risque eleve+</t>
        </is>
      </c>
      <c r="F113" s="3" t="inlineStr">
        <is>
          <t>Risque faible</t>
        </is>
      </c>
      <c r="H113" s="3" t="inlineStr">
        <is>
          <t>Exposition quotidienne</t>
        </is>
      </c>
    </row>
    <row r="114">
      <c r="B114" s="4">
        <f>COUNTIF(B5:B104,"&lt;&gt;")</f>
        <v/>
      </c>
      <c r="D114" s="4">
        <f>COUNTIF(I5:I104,"Eleve")+COUNTIF(I5:I104,"Tres eleve")</f>
        <v/>
      </c>
      <c r="F114" s="4">
        <f>COUNTIF(I5:I104,"Faible")</f>
        <v/>
      </c>
      <c r="H114" s="4">
        <f>COUNTIF(H5:H104,"Quotidienne")</f>
        <v/>
      </c>
    </row>
  </sheetData>
  <mergeCells count="3">
    <mergeCell ref="B112:I112"/>
    <mergeCell ref="B3:I3"/>
    <mergeCell ref="B2:I2"/>
  </mergeCells>
  <conditionalFormatting sqref="I5:I110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1:B110">
    <cfRule type="expression" priority="150" dxfId="0">
      <formula>AND($C11="",$C10&lt;&gt;"")</formula>
    </cfRule>
  </conditionalFormatting>
  <conditionalFormatting sqref="C11:C110">
    <cfRule type="expression" priority="151" dxfId="0">
      <formula>AND($C11="",$C10&lt;&gt;"")</formula>
    </cfRule>
  </conditionalFormatting>
  <conditionalFormatting sqref="D11:D110">
    <cfRule type="expression" priority="152" dxfId="0">
      <formula>AND($C11="",$C10&lt;&gt;"")</formula>
    </cfRule>
  </conditionalFormatting>
  <conditionalFormatting sqref="E11:E110">
    <cfRule type="expression" priority="153" dxfId="0">
      <formula>AND($C11="",$C10&lt;&gt;"")</formula>
    </cfRule>
  </conditionalFormatting>
  <conditionalFormatting sqref="F11:F110">
    <cfRule type="expression" priority="154" dxfId="0">
      <formula>AND($C11="",$C10&lt;&gt;"")</formula>
    </cfRule>
  </conditionalFormatting>
  <conditionalFormatting sqref="G11:G110">
    <cfRule type="expression" priority="155" dxfId="0">
      <formula>AND($C11="",$C10&lt;&gt;"")</formula>
    </cfRule>
  </conditionalFormatting>
  <conditionalFormatting sqref="H11:H110">
    <cfRule type="expression" priority="156" dxfId="0">
      <formula>AND($C11="",$C10&lt;&gt;"")</formula>
    </cfRule>
  </conditionalFormatting>
  <conditionalFormatting sqref="I11:I110">
    <cfRule type="expression" priority="157" dxfId="0">
      <formula>AND($C11="",$C10&lt;&gt;"")</formula>
    </cfRule>
  </conditionalFormatting>
  <dataValidations count="3">
    <dataValidation sqref="D5:D110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H5:H110" showDropDown="0" showInputMessage="0" showErrorMessage="0" allowBlank="1" errorTitle="Erreur" error="Valeur invalide" promptTitle="Liste" prompt="Choisir dans la liste" type="list">
      <formula1>'_Lists'!$E$2:$E$6</formula1>
    </dataValidation>
    <dataValidation sqref="I5:I110" showDropDown="0" showInputMessage="0" showErrorMessage="0" allowBlank="1" errorTitle="Erreur" error="Valeur invalide" promptTitle="Liste" prompt="Choisir dans la liste" type="list">
      <formula1>'_Lists'!$E$2:$E$6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2" customWidth="1" min="4" max="4"/>
    <col width="18" customWidth="1" min="5" max="5"/>
    <col width="18" customWidth="1" min="6" max="6"/>
    <col width="14" customWidth="1" min="7" max="7"/>
    <col width="20" customWidth="1" min="8" max="8"/>
    <col width="18" customWidth="1" min="9" max="9"/>
    <col width="18" customWidth="1" min="10" max="10"/>
    <col width="22" customWidth="1" min="11" max="11"/>
    <col width="18" customWidth="1" min="12" max="12"/>
  </cols>
  <sheetData>
    <row r="1" ht="15" customHeight="1"/>
    <row r="2" ht="32" customHeight="1">
      <c r="B2" s="1" t="inlineStr">
        <is>
          <t>GESTION DES EQUIPEMENTS DE PROTECTION INDIVIDUELLE (#104)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EPI</t>
        </is>
      </c>
      <c r="D4" s="10" t="inlineStr">
        <is>
          <t>Marque / Modele</t>
        </is>
      </c>
      <c r="E4" s="10" t="inlineStr">
        <is>
          <t>Quantite en Stock</t>
        </is>
      </c>
      <c r="F4" s="10" t="inlineStr">
        <is>
          <t>Quantite Attribuee</t>
        </is>
      </c>
      <c r="G4" s="10" t="inlineStr">
        <is>
          <t>A Replacer</t>
        </is>
      </c>
      <c r="H4" s="10" t="inlineStr">
        <is>
          <t>Date Dernier Approvision.</t>
        </is>
      </c>
      <c r="I4" s="10" t="inlineStr">
        <is>
          <t>Fournisseur</t>
        </is>
      </c>
      <c r="J4" s="10" t="inlineStr">
        <is>
          <t>Cout Unitaire (FCFA)</t>
        </is>
      </c>
      <c r="K4" s="10" t="inlineStr">
        <is>
          <t>Departement Dest.</t>
        </is>
      </c>
      <c r="L4" s="10" t="inlineStr">
        <is>
          <t>Statut</t>
        </is>
      </c>
    </row>
    <row r="5" ht="22" customHeight="1">
      <c r="B5" s="11" t="inlineStr">
        <is>
          <t>EPI-001</t>
        </is>
      </c>
      <c r="C5" s="11" t="inlineStr">
        <is>
          <t>Gants thermiques</t>
        </is>
      </c>
      <c r="D5" s="11" t="inlineStr">
        <is>
          <t>HeatPro X200</t>
        </is>
      </c>
      <c r="E5" s="22" t="n">
        <v>20</v>
      </c>
      <c r="F5" s="22" t="n">
        <v>15</v>
      </c>
      <c r="G5" s="22" t="n">
        <v>5</v>
      </c>
      <c r="H5" s="28" t="n">
        <v>45778</v>
      </c>
      <c r="I5" s="11" t="inlineStr">
        <is>
          <t>SecuPro SARL</t>
        </is>
      </c>
      <c r="J5" s="17" t="n">
        <v>5000</v>
      </c>
      <c r="K5" s="11" t="inlineStr">
        <is>
          <t>Cuisine &amp; Restauration</t>
        </is>
      </c>
      <c r="L5" s="11" t="inlineStr">
        <is>
          <t>En stock</t>
        </is>
      </c>
    </row>
    <row r="6" ht="22" customHeight="1">
      <c r="B6" s="13" t="inlineStr">
        <is>
          <t>EPI-002</t>
        </is>
      </c>
      <c r="C6" s="13" t="inlineStr">
        <is>
          <t>Chaussures de securite</t>
        </is>
      </c>
      <c r="D6" s="13" t="inlineStr">
        <is>
          <t>SafeStep Pro</t>
        </is>
      </c>
      <c r="E6" s="23" t="n">
        <v>30</v>
      </c>
      <c r="F6" s="23" t="n">
        <v>28</v>
      </c>
      <c r="G6" s="23" t="n">
        <v>2</v>
      </c>
      <c r="H6" s="29" t="n">
        <v>45762</v>
      </c>
      <c r="I6" s="13" t="inlineStr">
        <is>
          <t>EquipPro</t>
        </is>
      </c>
      <c r="J6" s="18" t="n">
        <v>12000</v>
      </c>
      <c r="K6" s="13" t="inlineStr">
        <is>
          <t>Maintenance</t>
        </is>
      </c>
      <c r="L6" s="13" t="inlineStr">
        <is>
          <t>En stock</t>
        </is>
      </c>
    </row>
    <row r="7" ht="22" customHeight="1">
      <c r="B7" s="11" t="inlineStr">
        <is>
          <t>EPI-003</t>
        </is>
      </c>
      <c r="C7" s="11" t="inlineStr">
        <is>
          <t>Masque respiratoire</t>
        </is>
      </c>
      <c r="D7" s="11" t="inlineStr">
        <is>
          <t>RespiGuard FFP2</t>
        </is>
      </c>
      <c r="E7" s="22" t="n">
        <v>50</v>
      </c>
      <c r="F7" s="22" t="n">
        <v>40</v>
      </c>
      <c r="G7" s="22" t="n">
        <v>10</v>
      </c>
      <c r="H7" s="28" t="n">
        <v>45809</v>
      </c>
      <c r="I7" s="11" t="inlineStr">
        <is>
          <t>MediMask</t>
        </is>
      </c>
      <c r="J7" s="17" t="n">
        <v>1500</v>
      </c>
      <c r="K7" s="11" t="inlineStr">
        <is>
          <t>Maintenance</t>
        </is>
      </c>
      <c r="L7" s="11" t="inlineStr">
        <is>
          <t>En stock</t>
        </is>
      </c>
    </row>
    <row r="8" ht="22" customHeight="1">
      <c r="B8" s="13" t="inlineStr">
        <is>
          <t>EPI-004</t>
        </is>
      </c>
      <c r="C8" s="13" t="inlineStr">
        <is>
          <t>Harnais securite</t>
        </is>
      </c>
      <c r="D8" s="13" t="inlineStr">
        <is>
          <t>AltiSafe H-300</t>
        </is>
      </c>
      <c r="E8" s="23" t="n">
        <v>4</v>
      </c>
      <c r="F8" s="23" t="n">
        <v>4</v>
      </c>
      <c r="G8" s="23" t="n">
        <v>0</v>
      </c>
      <c r="H8" s="29" t="n">
        <v>45717</v>
      </c>
      <c r="I8" s="13" t="inlineStr">
        <is>
          <t>HeightPro</t>
        </is>
      </c>
      <c r="J8" s="18" t="n">
        <v>45000</v>
      </c>
      <c r="K8" s="13" t="inlineStr">
        <is>
          <t>Maintenance</t>
        </is>
      </c>
      <c r="L8" s="13" t="inlineStr">
        <is>
          <t>A remplacer</t>
        </is>
      </c>
    </row>
    <row r="9" ht="22" customHeight="1">
      <c r="B9" s="11" t="inlineStr">
        <is>
          <t>EPI-005</t>
        </is>
      </c>
      <c r="C9" s="11" t="inlineStr">
        <is>
          <t>Gants nitrile (boite 100)</t>
        </is>
      </c>
      <c r="D9" s="11" t="inlineStr">
        <is>
          <t>NitraGuard</t>
        </is>
      </c>
      <c r="E9" s="22" t="n">
        <v>80</v>
      </c>
      <c r="F9" s="22" t="n">
        <v>65</v>
      </c>
      <c r="G9" s="22" t="n">
        <v>15</v>
      </c>
      <c r="H9" s="28" t="n">
        <v>45818</v>
      </c>
      <c r="I9" s="11" t="inlineStr">
        <is>
          <t>MediMask</t>
        </is>
      </c>
      <c r="J9" s="17" t="n">
        <v>3500</v>
      </c>
      <c r="K9" s="11" t="inlineStr">
        <is>
          <t>Cuisine &amp; Restauration</t>
        </is>
      </c>
      <c r="L9" s="11" t="inlineStr">
        <is>
          <t>En stock</t>
        </is>
      </c>
    </row>
    <row r="10" ht="22" customHeight="1">
      <c r="B10" s="13" t="inlineStr">
        <is>
          <t>EPI-006</t>
        </is>
      </c>
      <c r="C10" s="13" t="inlineStr">
        <is>
          <t>Lunettes protection</t>
        </is>
      </c>
      <c r="D10" s="13" t="inlineStr">
        <is>
          <t>ClearVision Pro</t>
        </is>
      </c>
      <c r="E10" s="23" t="n">
        <v>15</v>
      </c>
      <c r="F10" s="23" t="n">
        <v>12</v>
      </c>
      <c r="G10" s="23" t="n">
        <v>3</v>
      </c>
      <c r="H10" s="29" t="n">
        <v>45797</v>
      </c>
      <c r="I10" s="13" t="inlineStr">
        <is>
          <t>SecuPro SARL</t>
        </is>
      </c>
      <c r="J10" s="18" t="n">
        <v>8000</v>
      </c>
      <c r="K10" s="13" t="inlineStr">
        <is>
          <t>Cuisine &amp; Restauration</t>
        </is>
      </c>
      <c r="L10" s="13" t="inlineStr">
        <is>
          <t>En stock</t>
        </is>
      </c>
    </row>
    <row r="11" ht="22" customHeight="1">
      <c r="B11" s="16">
        <f>IF(C11="","EPI-"&amp;TEXT(COUNTA($C$5:C11),"000"))</f>
        <v/>
      </c>
      <c r="C11" s="11" t="n"/>
      <c r="D11" s="11" t="n"/>
      <c r="E11" s="22" t="n"/>
      <c r="F11" s="22" t="n"/>
      <c r="G11" s="22">
        <f>IF(E11="","",E11-F11)</f>
        <v/>
      </c>
      <c r="H11" s="28" t="n"/>
      <c r="I11" s="11" t="n"/>
      <c r="J11" s="17" t="n"/>
      <c r="K11" s="11" t="n"/>
      <c r="L11" s="11" t="n"/>
    </row>
    <row r="12" ht="22" customHeight="1">
      <c r="B12" s="15">
        <f>IF(C12="","EPI-"&amp;TEXT(COUNTA($C$5:C12),"000"))</f>
        <v/>
      </c>
      <c r="C12" s="13" t="n"/>
      <c r="D12" s="13" t="n"/>
      <c r="E12" s="23" t="n"/>
      <c r="F12" s="23" t="n"/>
      <c r="G12" s="23">
        <f>IF(E12="","",E12-F12)</f>
        <v/>
      </c>
      <c r="H12" s="29" t="n"/>
      <c r="I12" s="13" t="n"/>
      <c r="J12" s="18" t="n"/>
      <c r="K12" s="13" t="n"/>
      <c r="L12" s="13" t="n"/>
    </row>
    <row r="13" ht="22" customHeight="1">
      <c r="B13" s="16">
        <f>IF(C13="","EPI-"&amp;TEXT(COUNTA($C$5:C13),"000"))</f>
        <v/>
      </c>
      <c r="C13" s="11" t="n"/>
      <c r="D13" s="11" t="n"/>
      <c r="E13" s="22" t="n"/>
      <c r="F13" s="22" t="n"/>
      <c r="G13" s="22">
        <f>IF(E13="","",E13-F13)</f>
        <v/>
      </c>
      <c r="H13" s="28" t="n"/>
      <c r="I13" s="11" t="n"/>
      <c r="J13" s="17" t="n"/>
      <c r="K13" s="11" t="n"/>
      <c r="L13" s="11" t="n"/>
    </row>
    <row r="14" ht="22" customHeight="1">
      <c r="B14" s="15">
        <f>IF(C14="","EPI-"&amp;TEXT(COUNTA($C$5:C14),"000"))</f>
        <v/>
      </c>
      <c r="C14" s="13" t="n"/>
      <c r="D14" s="13" t="n"/>
      <c r="E14" s="23" t="n"/>
      <c r="F14" s="23" t="n"/>
      <c r="G14" s="23">
        <f>IF(E14="","",E14-F14)</f>
        <v/>
      </c>
      <c r="H14" s="29" t="n"/>
      <c r="I14" s="13" t="n"/>
      <c r="J14" s="18" t="n"/>
      <c r="K14" s="13" t="n"/>
      <c r="L14" s="13" t="n"/>
    </row>
    <row r="15" ht="22" customHeight="1">
      <c r="B15" s="16">
        <f>IF(C15="","EPI-"&amp;TEXT(COUNTA($C$5:C15),"000"))</f>
        <v/>
      </c>
      <c r="C15" s="11" t="n"/>
      <c r="D15" s="11" t="n"/>
      <c r="E15" s="22" t="n"/>
      <c r="F15" s="22" t="n"/>
      <c r="G15" s="22">
        <f>IF(E15="","",E15-F15)</f>
        <v/>
      </c>
      <c r="H15" s="28" t="n"/>
      <c r="I15" s="11" t="n"/>
      <c r="J15" s="17" t="n"/>
      <c r="K15" s="11" t="n"/>
      <c r="L15" s="11" t="n"/>
    </row>
    <row r="16" ht="22" customHeight="1">
      <c r="B16" s="15">
        <f>IF(C16="","EPI-"&amp;TEXT(COUNTA($C$5:C16),"000"))</f>
        <v/>
      </c>
      <c r="C16" s="13" t="n"/>
      <c r="D16" s="13" t="n"/>
      <c r="E16" s="23" t="n"/>
      <c r="F16" s="23" t="n"/>
      <c r="G16" s="23">
        <f>IF(E16="","",E16-F16)</f>
        <v/>
      </c>
      <c r="H16" s="29" t="n"/>
      <c r="I16" s="13" t="n"/>
      <c r="J16" s="18" t="n"/>
      <c r="K16" s="13" t="n"/>
      <c r="L16" s="13" t="n"/>
    </row>
    <row r="17" ht="22" customHeight="1">
      <c r="B17" s="16">
        <f>IF(C17="","EPI-"&amp;TEXT(COUNTA($C$5:C17),"000"))</f>
        <v/>
      </c>
      <c r="C17" s="11" t="n"/>
      <c r="D17" s="11" t="n"/>
      <c r="E17" s="22" t="n"/>
      <c r="F17" s="22" t="n"/>
      <c r="G17" s="22">
        <f>IF(E17="","",E17-F17)</f>
        <v/>
      </c>
      <c r="H17" s="28" t="n"/>
      <c r="I17" s="11" t="n"/>
      <c r="J17" s="17" t="n"/>
      <c r="K17" s="11" t="n"/>
      <c r="L17" s="11" t="n"/>
    </row>
    <row r="18" ht="22" customHeight="1">
      <c r="B18" s="15">
        <f>IF(C18="","EPI-"&amp;TEXT(COUNTA($C$5:C18),"000"))</f>
        <v/>
      </c>
      <c r="C18" s="13" t="n"/>
      <c r="D18" s="13" t="n"/>
      <c r="E18" s="23" t="n"/>
      <c r="F18" s="23" t="n"/>
      <c r="G18" s="23">
        <f>IF(E18="","",E18-F18)</f>
        <v/>
      </c>
      <c r="H18" s="29" t="n"/>
      <c r="I18" s="13" t="n"/>
      <c r="J18" s="18" t="n"/>
      <c r="K18" s="13" t="n"/>
      <c r="L18" s="13" t="n"/>
    </row>
    <row r="19" ht="22" customHeight="1">
      <c r="B19" s="16">
        <f>IF(C19="","EPI-"&amp;TEXT(COUNTA($C$5:C19),"000"))</f>
        <v/>
      </c>
      <c r="C19" s="11" t="n"/>
      <c r="D19" s="11" t="n"/>
      <c r="E19" s="22" t="n"/>
      <c r="F19" s="22" t="n"/>
      <c r="G19" s="22">
        <f>IF(E19="","",E19-F19)</f>
        <v/>
      </c>
      <c r="H19" s="28" t="n"/>
      <c r="I19" s="11" t="n"/>
      <c r="J19" s="17" t="n"/>
      <c r="K19" s="11" t="n"/>
      <c r="L19" s="11" t="n"/>
    </row>
    <row r="20" ht="22" customHeight="1">
      <c r="B20" s="15">
        <f>IF(C20="","EPI-"&amp;TEXT(COUNTA($C$5:C20),"000"))</f>
        <v/>
      </c>
      <c r="C20" s="13" t="n"/>
      <c r="D20" s="13" t="n"/>
      <c r="E20" s="23" t="n"/>
      <c r="F20" s="23" t="n"/>
      <c r="G20" s="23">
        <f>IF(E20="","",E20-F20)</f>
        <v/>
      </c>
      <c r="H20" s="29" t="n"/>
      <c r="I20" s="13" t="n"/>
      <c r="J20" s="18" t="n"/>
      <c r="K20" s="13" t="n"/>
      <c r="L20" s="13" t="n"/>
    </row>
    <row r="21" ht="22" customHeight="1">
      <c r="B21" s="16">
        <f>IF(C21="","EPI-"&amp;TEXT(COUNTA($C$5:C21),"000"))</f>
        <v/>
      </c>
      <c r="C21" s="11" t="n"/>
      <c r="D21" s="11" t="n"/>
      <c r="E21" s="22" t="n"/>
      <c r="F21" s="22" t="n"/>
      <c r="G21" s="22">
        <f>IF(E21="","",E21-F21)</f>
        <v/>
      </c>
      <c r="H21" s="28" t="n"/>
      <c r="I21" s="11" t="n"/>
      <c r="J21" s="17" t="n"/>
      <c r="K21" s="11" t="n"/>
      <c r="L21" s="11" t="n"/>
    </row>
    <row r="22" ht="22" customHeight="1">
      <c r="B22" s="15">
        <f>IF(C22="","EPI-"&amp;TEXT(COUNTA($C$5:C22),"000"))</f>
        <v/>
      </c>
      <c r="C22" s="13" t="n"/>
      <c r="D22" s="13" t="n"/>
      <c r="E22" s="23" t="n"/>
      <c r="F22" s="23" t="n"/>
      <c r="G22" s="23">
        <f>IF(E22="","",E22-F22)</f>
        <v/>
      </c>
      <c r="H22" s="29" t="n"/>
      <c r="I22" s="13" t="n"/>
      <c r="J22" s="18" t="n"/>
      <c r="K22" s="13" t="n"/>
      <c r="L22" s="13" t="n"/>
    </row>
    <row r="23" ht="22" customHeight="1">
      <c r="B23" s="16">
        <f>IF(C23="","EPI-"&amp;TEXT(COUNTA($C$5:C23),"000"))</f>
        <v/>
      </c>
      <c r="C23" s="11" t="n"/>
      <c r="D23" s="11" t="n"/>
      <c r="E23" s="22" t="n"/>
      <c r="F23" s="22" t="n"/>
      <c r="G23" s="22">
        <f>IF(E23="","",E23-F23)</f>
        <v/>
      </c>
      <c r="H23" s="28" t="n"/>
      <c r="I23" s="11" t="n"/>
      <c r="J23" s="17" t="n"/>
      <c r="K23" s="11" t="n"/>
      <c r="L23" s="11" t="n"/>
    </row>
    <row r="24" ht="22" customHeight="1">
      <c r="B24" s="15">
        <f>IF(C24="","EPI-"&amp;TEXT(COUNTA($C$5:C24),"000"))</f>
        <v/>
      </c>
      <c r="C24" s="13" t="n"/>
      <c r="D24" s="13" t="n"/>
      <c r="E24" s="23" t="n"/>
      <c r="F24" s="23" t="n"/>
      <c r="G24" s="23">
        <f>IF(E24="","",E24-F24)</f>
        <v/>
      </c>
      <c r="H24" s="29" t="n"/>
      <c r="I24" s="13" t="n"/>
      <c r="J24" s="18" t="n"/>
      <c r="K24" s="13" t="n"/>
      <c r="L24" s="13" t="n"/>
    </row>
    <row r="25" ht="22" customHeight="1">
      <c r="B25" s="16">
        <f>IF(C25="","EPI-"&amp;TEXT(COUNTA($C$5:C25),"000"))</f>
        <v/>
      </c>
      <c r="C25" s="11" t="n"/>
      <c r="D25" s="11" t="n"/>
      <c r="E25" s="22" t="n"/>
      <c r="F25" s="22" t="n"/>
      <c r="G25" s="22">
        <f>IF(E25="","",E25-F25)</f>
        <v/>
      </c>
      <c r="H25" s="28" t="n"/>
      <c r="I25" s="11" t="n"/>
      <c r="J25" s="17" t="n"/>
      <c r="K25" s="11" t="n"/>
      <c r="L25" s="11" t="n"/>
    </row>
    <row r="26" ht="22" customHeight="1">
      <c r="B26" s="15">
        <f>IF(C26="","EPI-"&amp;TEXT(COUNTA($C$5:C26),"000"))</f>
        <v/>
      </c>
      <c r="C26" s="13" t="n"/>
      <c r="D26" s="13" t="n"/>
      <c r="E26" s="23" t="n"/>
      <c r="F26" s="23" t="n"/>
      <c r="G26" s="23">
        <f>IF(E26="","",E26-F26)</f>
        <v/>
      </c>
      <c r="H26" s="29" t="n"/>
      <c r="I26" s="13" t="n"/>
      <c r="J26" s="18" t="n"/>
      <c r="K26" s="13" t="n"/>
      <c r="L26" s="13" t="n"/>
    </row>
    <row r="27" ht="22" customHeight="1">
      <c r="B27" s="16">
        <f>IF(C27="","EPI-"&amp;TEXT(COUNTA($C$5:C27),"000"))</f>
        <v/>
      </c>
      <c r="C27" s="11" t="n"/>
      <c r="D27" s="11" t="n"/>
      <c r="E27" s="22" t="n"/>
      <c r="F27" s="22" t="n"/>
      <c r="G27" s="22">
        <f>IF(E27="","",E27-F27)</f>
        <v/>
      </c>
      <c r="H27" s="28" t="n"/>
      <c r="I27" s="11" t="n"/>
      <c r="J27" s="17" t="n"/>
      <c r="K27" s="11" t="n"/>
      <c r="L27" s="11" t="n"/>
    </row>
    <row r="28" ht="22" customHeight="1">
      <c r="B28" s="15">
        <f>IF(C28="","EPI-"&amp;TEXT(COUNTA($C$5:C28),"000"))</f>
        <v/>
      </c>
      <c r="C28" s="13" t="n"/>
      <c r="D28" s="13" t="n"/>
      <c r="E28" s="23" t="n"/>
      <c r="F28" s="23" t="n"/>
      <c r="G28" s="23">
        <f>IF(E28="","",E28-F28)</f>
        <v/>
      </c>
      <c r="H28" s="29" t="n"/>
      <c r="I28" s="13" t="n"/>
      <c r="J28" s="18" t="n"/>
      <c r="K28" s="13" t="n"/>
      <c r="L28" s="13" t="n"/>
    </row>
    <row r="29" ht="22" customHeight="1">
      <c r="B29" s="16">
        <f>IF(C29="","EPI-"&amp;TEXT(COUNTA($C$5:C29),"000"))</f>
        <v/>
      </c>
      <c r="C29" s="11" t="n"/>
      <c r="D29" s="11" t="n"/>
      <c r="E29" s="22" t="n"/>
      <c r="F29" s="22" t="n"/>
      <c r="G29" s="22">
        <f>IF(E29="","",E29-F29)</f>
        <v/>
      </c>
      <c r="H29" s="28" t="n"/>
      <c r="I29" s="11" t="n"/>
      <c r="J29" s="17" t="n"/>
      <c r="K29" s="11" t="n"/>
      <c r="L29" s="11" t="n"/>
    </row>
    <row r="30" ht="22" customHeight="1">
      <c r="B30" s="15">
        <f>IF(C30="","EPI-"&amp;TEXT(COUNTA($C$5:C30),"000"))</f>
        <v/>
      </c>
      <c r="C30" s="13" t="n"/>
      <c r="D30" s="13" t="n"/>
      <c r="E30" s="23" t="n"/>
      <c r="F30" s="23" t="n"/>
      <c r="G30" s="23">
        <f>IF(E30="","",E30-F30)</f>
        <v/>
      </c>
      <c r="H30" s="29" t="n"/>
      <c r="I30" s="13" t="n"/>
      <c r="J30" s="18" t="n"/>
      <c r="K30" s="13" t="n"/>
      <c r="L30" s="13" t="n"/>
    </row>
    <row r="31" ht="22" customHeight="1">
      <c r="B31" s="16">
        <f>IF(C31="","EPI-"&amp;TEXT(COUNTA($C$5:C31),"000"))</f>
        <v/>
      </c>
      <c r="C31" s="11" t="n"/>
      <c r="D31" s="11" t="n"/>
      <c r="E31" s="22" t="n"/>
      <c r="F31" s="22" t="n"/>
      <c r="G31" s="22">
        <f>IF(E31="","",E31-F31)</f>
        <v/>
      </c>
      <c r="H31" s="28" t="n"/>
      <c r="I31" s="11" t="n"/>
      <c r="J31" s="17" t="n"/>
      <c r="K31" s="11" t="n"/>
      <c r="L31" s="11" t="n"/>
    </row>
    <row r="32" ht="22" customHeight="1">
      <c r="B32" s="15">
        <f>IF(C32="","EPI-"&amp;TEXT(COUNTA($C$5:C32),"000"))</f>
        <v/>
      </c>
      <c r="C32" s="13" t="n"/>
      <c r="D32" s="13" t="n"/>
      <c r="E32" s="23" t="n"/>
      <c r="F32" s="23" t="n"/>
      <c r="G32" s="23">
        <f>IF(E32="","",E32-F32)</f>
        <v/>
      </c>
      <c r="H32" s="29" t="n"/>
      <c r="I32" s="13" t="n"/>
      <c r="J32" s="18" t="n"/>
      <c r="K32" s="13" t="n"/>
      <c r="L32" s="13" t="n"/>
    </row>
    <row r="33" ht="22" customHeight="1">
      <c r="B33" s="16">
        <f>IF(C33="","EPI-"&amp;TEXT(COUNTA($C$5:C33),"000"))</f>
        <v/>
      </c>
      <c r="C33" s="11" t="n"/>
      <c r="D33" s="11" t="n"/>
      <c r="E33" s="22" t="n"/>
      <c r="F33" s="22" t="n"/>
      <c r="G33" s="22">
        <f>IF(E33="","",E33-F33)</f>
        <v/>
      </c>
      <c r="H33" s="28" t="n"/>
      <c r="I33" s="11" t="n"/>
      <c r="J33" s="17" t="n"/>
      <c r="K33" s="11" t="n"/>
      <c r="L33" s="11" t="n"/>
    </row>
    <row r="34" ht="22" customHeight="1">
      <c r="B34" s="15">
        <f>IF(C34="","EPI-"&amp;TEXT(COUNTA($C$5:C34),"000"))</f>
        <v/>
      </c>
      <c r="C34" s="13" t="n"/>
      <c r="D34" s="13" t="n"/>
      <c r="E34" s="23" t="n"/>
      <c r="F34" s="23" t="n"/>
      <c r="G34" s="23">
        <f>IF(E34="","",E34-F34)</f>
        <v/>
      </c>
      <c r="H34" s="29" t="n"/>
      <c r="I34" s="13" t="n"/>
      <c r="J34" s="18" t="n"/>
      <c r="K34" s="13" t="n"/>
      <c r="L34" s="13" t="n"/>
    </row>
    <row r="35" ht="22" customHeight="1">
      <c r="B35" s="16">
        <f>IF(C35="","EPI-"&amp;TEXT(COUNTA($C$5:C35),"000"))</f>
        <v/>
      </c>
      <c r="C35" s="11" t="n"/>
      <c r="D35" s="11" t="n"/>
      <c r="E35" s="22" t="n"/>
      <c r="F35" s="22" t="n"/>
      <c r="G35" s="22">
        <f>IF(E35="","",E35-F35)</f>
        <v/>
      </c>
      <c r="H35" s="28" t="n"/>
      <c r="I35" s="11" t="n"/>
      <c r="J35" s="17" t="n"/>
      <c r="K35" s="11" t="n"/>
      <c r="L35" s="11" t="n"/>
    </row>
    <row r="36" ht="22" customHeight="1">
      <c r="B36" s="15">
        <f>IF(C36="","EPI-"&amp;TEXT(COUNTA($C$5:C36),"000"))</f>
        <v/>
      </c>
      <c r="C36" s="13" t="n"/>
      <c r="D36" s="13" t="n"/>
      <c r="E36" s="23" t="n"/>
      <c r="F36" s="23" t="n"/>
      <c r="G36" s="23">
        <f>IF(E36="","",E36-F36)</f>
        <v/>
      </c>
      <c r="H36" s="29" t="n"/>
      <c r="I36" s="13" t="n"/>
      <c r="J36" s="18" t="n"/>
      <c r="K36" s="13" t="n"/>
      <c r="L36" s="13" t="n"/>
    </row>
    <row r="37" ht="22" customHeight="1">
      <c r="B37" s="16">
        <f>IF(C37="","EPI-"&amp;TEXT(COUNTA($C$5:C37),"000"))</f>
        <v/>
      </c>
      <c r="C37" s="11" t="n"/>
      <c r="D37" s="11" t="n"/>
      <c r="E37" s="22" t="n"/>
      <c r="F37" s="22" t="n"/>
      <c r="G37" s="22">
        <f>IF(E37="","",E37-F37)</f>
        <v/>
      </c>
      <c r="H37" s="28" t="n"/>
      <c r="I37" s="11" t="n"/>
      <c r="J37" s="17" t="n"/>
      <c r="K37" s="11" t="n"/>
      <c r="L37" s="11" t="n"/>
    </row>
    <row r="38" ht="22" customHeight="1">
      <c r="B38" s="15">
        <f>IF(C38="","EPI-"&amp;TEXT(COUNTA($C$5:C38),"000"))</f>
        <v/>
      </c>
      <c r="C38" s="13" t="n"/>
      <c r="D38" s="13" t="n"/>
      <c r="E38" s="23" t="n"/>
      <c r="F38" s="23" t="n"/>
      <c r="G38" s="23">
        <f>IF(E38="","",E38-F38)</f>
        <v/>
      </c>
      <c r="H38" s="29" t="n"/>
      <c r="I38" s="13" t="n"/>
      <c r="J38" s="18" t="n"/>
      <c r="K38" s="13" t="n"/>
      <c r="L38" s="13" t="n"/>
    </row>
    <row r="39" ht="22" customHeight="1">
      <c r="B39" s="16">
        <f>IF(C39="","EPI-"&amp;TEXT(COUNTA($C$5:C39),"000"))</f>
        <v/>
      </c>
      <c r="C39" s="11" t="n"/>
      <c r="D39" s="11" t="n"/>
      <c r="E39" s="22" t="n"/>
      <c r="F39" s="22" t="n"/>
      <c r="G39" s="22">
        <f>IF(E39="","",E39-F39)</f>
        <v/>
      </c>
      <c r="H39" s="28" t="n"/>
      <c r="I39" s="11" t="n"/>
      <c r="J39" s="17" t="n"/>
      <c r="K39" s="11" t="n"/>
      <c r="L39" s="11" t="n"/>
    </row>
    <row r="40" ht="22" customHeight="1">
      <c r="B40" s="15">
        <f>IF(C40="","EPI-"&amp;TEXT(COUNTA($C$5:C40),"000"))</f>
        <v/>
      </c>
      <c r="C40" s="13" t="n"/>
      <c r="D40" s="13" t="n"/>
      <c r="E40" s="23" t="n"/>
      <c r="F40" s="23" t="n"/>
      <c r="G40" s="23">
        <f>IF(E40="","",E40-F40)</f>
        <v/>
      </c>
      <c r="H40" s="29" t="n"/>
      <c r="I40" s="13" t="n"/>
      <c r="J40" s="18" t="n"/>
      <c r="K40" s="13" t="n"/>
      <c r="L40" s="13" t="n"/>
    </row>
    <row r="41" ht="22" customHeight="1">
      <c r="B41" s="16">
        <f>IF(C41="","EPI-"&amp;TEXT(COUNTA($C$5:C41),"000"))</f>
        <v/>
      </c>
      <c r="C41" s="11" t="n"/>
      <c r="D41" s="11" t="n"/>
      <c r="E41" s="22" t="n"/>
      <c r="F41" s="22" t="n"/>
      <c r="G41" s="22">
        <f>IF(E41="","",E41-F41)</f>
        <v/>
      </c>
      <c r="H41" s="28" t="n"/>
      <c r="I41" s="11" t="n"/>
      <c r="J41" s="17" t="n"/>
      <c r="K41" s="11" t="n"/>
      <c r="L41" s="11" t="n"/>
    </row>
    <row r="42" ht="22" customHeight="1">
      <c r="B42" s="15">
        <f>IF(C42="","EPI-"&amp;TEXT(COUNTA($C$5:C42),"000"))</f>
        <v/>
      </c>
      <c r="C42" s="13" t="n"/>
      <c r="D42" s="13" t="n"/>
      <c r="E42" s="23" t="n"/>
      <c r="F42" s="23" t="n"/>
      <c r="G42" s="23">
        <f>IF(E42="","",E42-F42)</f>
        <v/>
      </c>
      <c r="H42" s="29" t="n"/>
      <c r="I42" s="13" t="n"/>
      <c r="J42" s="18" t="n"/>
      <c r="K42" s="13" t="n"/>
      <c r="L42" s="13" t="n"/>
    </row>
    <row r="43" ht="22" customHeight="1">
      <c r="B43" s="16">
        <f>IF(C43="","EPI-"&amp;TEXT(COUNTA($C$5:C43),"000"))</f>
        <v/>
      </c>
      <c r="C43" s="11" t="n"/>
      <c r="D43" s="11" t="n"/>
      <c r="E43" s="22" t="n"/>
      <c r="F43" s="22" t="n"/>
      <c r="G43" s="22">
        <f>IF(E43="","",E43-F43)</f>
        <v/>
      </c>
      <c r="H43" s="28" t="n"/>
      <c r="I43" s="11" t="n"/>
      <c r="J43" s="17" t="n"/>
      <c r="K43" s="11" t="n"/>
      <c r="L43" s="11" t="n"/>
    </row>
    <row r="44" ht="22" customHeight="1">
      <c r="B44" s="15">
        <f>IF(C44="","EPI-"&amp;TEXT(COUNTA($C$5:C44),"000"))</f>
        <v/>
      </c>
      <c r="C44" s="13" t="n"/>
      <c r="D44" s="13" t="n"/>
      <c r="E44" s="23" t="n"/>
      <c r="F44" s="23" t="n"/>
      <c r="G44" s="23">
        <f>IF(E44="","",E44-F44)</f>
        <v/>
      </c>
      <c r="H44" s="29" t="n"/>
      <c r="I44" s="13" t="n"/>
      <c r="J44" s="18" t="n"/>
      <c r="K44" s="13" t="n"/>
      <c r="L44" s="13" t="n"/>
    </row>
    <row r="45" ht="22" customHeight="1">
      <c r="B45" s="16">
        <f>IF(C45="","EPI-"&amp;TEXT(COUNTA($C$5:C45),"000"))</f>
        <v/>
      </c>
      <c r="C45" s="11" t="n"/>
      <c r="D45" s="11" t="n"/>
      <c r="E45" s="22" t="n"/>
      <c r="F45" s="22" t="n"/>
      <c r="G45" s="22">
        <f>IF(E45="","",E45-F45)</f>
        <v/>
      </c>
      <c r="H45" s="28" t="n"/>
      <c r="I45" s="11" t="n"/>
      <c r="J45" s="17" t="n"/>
      <c r="K45" s="11" t="n"/>
      <c r="L45" s="11" t="n"/>
    </row>
    <row r="46" ht="22" customHeight="1">
      <c r="B46" s="15">
        <f>IF(C46="","EPI-"&amp;TEXT(COUNTA($C$5:C46),"000"))</f>
        <v/>
      </c>
      <c r="C46" s="13" t="n"/>
      <c r="D46" s="13" t="n"/>
      <c r="E46" s="23" t="n"/>
      <c r="F46" s="23" t="n"/>
      <c r="G46" s="23">
        <f>IF(E46="","",E46-F46)</f>
        <v/>
      </c>
      <c r="H46" s="29" t="n"/>
      <c r="I46" s="13" t="n"/>
      <c r="J46" s="18" t="n"/>
      <c r="K46" s="13" t="n"/>
      <c r="L46" s="13" t="n"/>
    </row>
    <row r="47" ht="22" customHeight="1">
      <c r="B47" s="16">
        <f>IF(C47="","EPI-"&amp;TEXT(COUNTA($C$5:C47),"000"))</f>
        <v/>
      </c>
      <c r="C47" s="11" t="n"/>
      <c r="D47" s="11" t="n"/>
      <c r="E47" s="22" t="n"/>
      <c r="F47" s="22" t="n"/>
      <c r="G47" s="22">
        <f>IF(E47="","",E47-F47)</f>
        <v/>
      </c>
      <c r="H47" s="28" t="n"/>
      <c r="I47" s="11" t="n"/>
      <c r="J47" s="17" t="n"/>
      <c r="K47" s="11" t="n"/>
      <c r="L47" s="11" t="n"/>
    </row>
    <row r="48" ht="22" customHeight="1">
      <c r="B48" s="15">
        <f>IF(C48="","EPI-"&amp;TEXT(COUNTA($C$5:C48),"000"))</f>
        <v/>
      </c>
      <c r="C48" s="13" t="n"/>
      <c r="D48" s="13" t="n"/>
      <c r="E48" s="23" t="n"/>
      <c r="F48" s="23" t="n"/>
      <c r="G48" s="23">
        <f>IF(E48="","",E48-F48)</f>
        <v/>
      </c>
      <c r="H48" s="29" t="n"/>
      <c r="I48" s="13" t="n"/>
      <c r="J48" s="18" t="n"/>
      <c r="K48" s="13" t="n"/>
      <c r="L48" s="13" t="n"/>
    </row>
    <row r="49" ht="22" customHeight="1">
      <c r="B49" s="16">
        <f>IF(C49="","EPI-"&amp;TEXT(COUNTA($C$5:C49),"000"))</f>
        <v/>
      </c>
      <c r="C49" s="11" t="n"/>
      <c r="D49" s="11" t="n"/>
      <c r="E49" s="22" t="n"/>
      <c r="F49" s="22" t="n"/>
      <c r="G49" s="22">
        <f>IF(E49="","",E49-F49)</f>
        <v/>
      </c>
      <c r="H49" s="28" t="n"/>
      <c r="I49" s="11" t="n"/>
      <c r="J49" s="17" t="n"/>
      <c r="K49" s="11" t="n"/>
      <c r="L49" s="11" t="n"/>
    </row>
    <row r="50" ht="22" customHeight="1">
      <c r="B50" s="15">
        <f>IF(C50="","EPI-"&amp;TEXT(COUNTA($C$5:C50),"000"))</f>
        <v/>
      </c>
      <c r="C50" s="13" t="n"/>
      <c r="D50" s="13" t="n"/>
      <c r="E50" s="23" t="n"/>
      <c r="F50" s="23" t="n"/>
      <c r="G50" s="23">
        <f>IF(E50="","",E50-F50)</f>
        <v/>
      </c>
      <c r="H50" s="29" t="n"/>
      <c r="I50" s="13" t="n"/>
      <c r="J50" s="18" t="n"/>
      <c r="K50" s="13" t="n"/>
      <c r="L50" s="13" t="n"/>
    </row>
    <row r="51" ht="22" customHeight="1">
      <c r="B51" s="16">
        <f>IF(C51="","EPI-"&amp;TEXT(COUNTA($C$5:C51),"000"))</f>
        <v/>
      </c>
      <c r="C51" s="11" t="n"/>
      <c r="D51" s="11" t="n"/>
      <c r="E51" s="22" t="n"/>
      <c r="F51" s="22" t="n"/>
      <c r="G51" s="22">
        <f>IF(E51="","",E51-F51)</f>
        <v/>
      </c>
      <c r="H51" s="28" t="n"/>
      <c r="I51" s="11" t="n"/>
      <c r="J51" s="17" t="n"/>
      <c r="K51" s="11" t="n"/>
      <c r="L51" s="11" t="n"/>
    </row>
    <row r="52" ht="22" customHeight="1">
      <c r="B52" s="15">
        <f>IF(C52="","EPI-"&amp;TEXT(COUNTA($C$5:C52),"000"))</f>
        <v/>
      </c>
      <c r="C52" s="13" t="n"/>
      <c r="D52" s="13" t="n"/>
      <c r="E52" s="23" t="n"/>
      <c r="F52" s="23" t="n"/>
      <c r="G52" s="23">
        <f>IF(E52="","",E52-F52)</f>
        <v/>
      </c>
      <c r="H52" s="29" t="n"/>
      <c r="I52" s="13" t="n"/>
      <c r="J52" s="18" t="n"/>
      <c r="K52" s="13" t="n"/>
      <c r="L52" s="13" t="n"/>
    </row>
    <row r="53" ht="22" customHeight="1">
      <c r="B53" s="16">
        <f>IF(C53="","EPI-"&amp;TEXT(COUNTA($C$5:C53),"000"))</f>
        <v/>
      </c>
      <c r="C53" s="11" t="n"/>
      <c r="D53" s="11" t="n"/>
      <c r="E53" s="22" t="n"/>
      <c r="F53" s="22" t="n"/>
      <c r="G53" s="22">
        <f>IF(E53="","",E53-F53)</f>
        <v/>
      </c>
      <c r="H53" s="28" t="n"/>
      <c r="I53" s="11" t="n"/>
      <c r="J53" s="17" t="n"/>
      <c r="K53" s="11" t="n"/>
      <c r="L53" s="11" t="n"/>
    </row>
    <row r="54" ht="22" customHeight="1">
      <c r="B54" s="15">
        <f>IF(C54="","EPI-"&amp;TEXT(COUNTA($C$5:C54),"000"))</f>
        <v/>
      </c>
      <c r="C54" s="13" t="n"/>
      <c r="D54" s="13" t="n"/>
      <c r="E54" s="23" t="n"/>
      <c r="F54" s="23" t="n"/>
      <c r="G54" s="23">
        <f>IF(E54="","",E54-F54)</f>
        <v/>
      </c>
      <c r="H54" s="29" t="n"/>
      <c r="I54" s="13" t="n"/>
      <c r="J54" s="18" t="n"/>
      <c r="K54" s="13" t="n"/>
      <c r="L54" s="13" t="n"/>
    </row>
    <row r="55" ht="22" customHeight="1">
      <c r="B55" s="16">
        <f>IF(C55="","EPI-"&amp;TEXT(COUNTA($C$5:C55),"000"))</f>
        <v/>
      </c>
      <c r="C55" s="11" t="n"/>
      <c r="D55" s="11" t="n"/>
      <c r="E55" s="22" t="n"/>
      <c r="F55" s="22" t="n"/>
      <c r="G55" s="22">
        <f>IF(E55="","",E55-F55)</f>
        <v/>
      </c>
      <c r="H55" s="28" t="n"/>
      <c r="I55" s="11" t="n"/>
      <c r="J55" s="17" t="n"/>
      <c r="K55" s="11" t="n"/>
      <c r="L55" s="11" t="n"/>
    </row>
    <row r="56" ht="22" customHeight="1">
      <c r="B56" s="15">
        <f>IF(C56="","EPI-"&amp;TEXT(COUNTA($C$5:C56),"000"))</f>
        <v/>
      </c>
      <c r="C56" s="13" t="n"/>
      <c r="D56" s="13" t="n"/>
      <c r="E56" s="23" t="n"/>
      <c r="F56" s="23" t="n"/>
      <c r="G56" s="23">
        <f>IF(E56="","",E56-F56)</f>
        <v/>
      </c>
      <c r="H56" s="29" t="n"/>
      <c r="I56" s="13" t="n"/>
      <c r="J56" s="18" t="n"/>
      <c r="K56" s="13" t="n"/>
      <c r="L56" s="13" t="n"/>
    </row>
    <row r="57" ht="22" customHeight="1">
      <c r="B57" s="16">
        <f>IF(C57="","EPI-"&amp;TEXT(COUNTA($C$5:C57),"000"))</f>
        <v/>
      </c>
      <c r="C57" s="11" t="n"/>
      <c r="D57" s="11" t="n"/>
      <c r="E57" s="22" t="n"/>
      <c r="F57" s="22" t="n"/>
      <c r="G57" s="22">
        <f>IF(E57="","",E57-F57)</f>
        <v/>
      </c>
      <c r="H57" s="28" t="n"/>
      <c r="I57" s="11" t="n"/>
      <c r="J57" s="17" t="n"/>
      <c r="K57" s="11" t="n"/>
      <c r="L57" s="11" t="n"/>
    </row>
    <row r="58" ht="22" customHeight="1">
      <c r="B58" s="15">
        <f>IF(C58="","EPI-"&amp;TEXT(COUNTA($C$5:C58),"000"))</f>
        <v/>
      </c>
      <c r="C58" s="13" t="n"/>
      <c r="D58" s="13" t="n"/>
      <c r="E58" s="23" t="n"/>
      <c r="F58" s="23" t="n"/>
      <c r="G58" s="23">
        <f>IF(E58="","",E58-F58)</f>
        <v/>
      </c>
      <c r="H58" s="29" t="n"/>
      <c r="I58" s="13" t="n"/>
      <c r="J58" s="18" t="n"/>
      <c r="K58" s="13" t="n"/>
      <c r="L58" s="13" t="n"/>
    </row>
    <row r="59" ht="22" customHeight="1">
      <c r="B59" s="16">
        <f>IF(C59="","EPI-"&amp;TEXT(COUNTA($C$5:C59),"000"))</f>
        <v/>
      </c>
      <c r="C59" s="11" t="n"/>
      <c r="D59" s="11" t="n"/>
      <c r="E59" s="22" t="n"/>
      <c r="F59" s="22" t="n"/>
      <c r="G59" s="22">
        <f>IF(E59="","",E59-F59)</f>
        <v/>
      </c>
      <c r="H59" s="28" t="n"/>
      <c r="I59" s="11" t="n"/>
      <c r="J59" s="17" t="n"/>
      <c r="K59" s="11" t="n"/>
      <c r="L59" s="11" t="n"/>
    </row>
    <row r="60" ht="22" customHeight="1">
      <c r="B60" s="15">
        <f>IF(C60="","EPI-"&amp;TEXT(COUNTA($C$5:C60),"000"))</f>
        <v/>
      </c>
      <c r="C60" s="13" t="n"/>
      <c r="D60" s="13" t="n"/>
      <c r="E60" s="23" t="n"/>
      <c r="F60" s="23" t="n"/>
      <c r="G60" s="23">
        <f>IF(E60="","",E60-F60)</f>
        <v/>
      </c>
      <c r="H60" s="29" t="n"/>
      <c r="I60" s="13" t="n"/>
      <c r="J60" s="18" t="n"/>
      <c r="K60" s="13" t="n"/>
      <c r="L60" s="13" t="n"/>
    </row>
    <row r="61" ht="22" customHeight="1">
      <c r="B61" s="16">
        <f>IF(C61="","EPI-"&amp;TEXT(COUNTA($C$5:C61),"000"))</f>
        <v/>
      </c>
      <c r="C61" s="11" t="n"/>
      <c r="D61" s="11" t="n"/>
      <c r="E61" s="22" t="n"/>
      <c r="F61" s="22" t="n"/>
      <c r="G61" s="22">
        <f>IF(E61="","",E61-F61)</f>
        <v/>
      </c>
      <c r="H61" s="28" t="n"/>
      <c r="I61" s="11" t="n"/>
      <c r="J61" s="17" t="n"/>
      <c r="K61" s="11" t="n"/>
      <c r="L61" s="11" t="n"/>
    </row>
    <row r="62" ht="22" customHeight="1">
      <c r="B62" s="15">
        <f>IF(C62="","EPI-"&amp;TEXT(COUNTA($C$5:C62),"000"))</f>
        <v/>
      </c>
      <c r="C62" s="13" t="n"/>
      <c r="D62" s="13" t="n"/>
      <c r="E62" s="23" t="n"/>
      <c r="F62" s="23" t="n"/>
      <c r="G62" s="23">
        <f>IF(E62="","",E62-F62)</f>
        <v/>
      </c>
      <c r="H62" s="29" t="n"/>
      <c r="I62" s="13" t="n"/>
      <c r="J62" s="18" t="n"/>
      <c r="K62" s="13" t="n"/>
      <c r="L62" s="13" t="n"/>
    </row>
    <row r="63" ht="22" customHeight="1">
      <c r="B63" s="16">
        <f>IF(C63="","EPI-"&amp;TEXT(COUNTA($C$5:C63),"000"))</f>
        <v/>
      </c>
      <c r="C63" s="11" t="n"/>
      <c r="D63" s="11" t="n"/>
      <c r="E63" s="22" t="n"/>
      <c r="F63" s="22" t="n"/>
      <c r="G63" s="22">
        <f>IF(E63="","",E63-F63)</f>
        <v/>
      </c>
      <c r="H63" s="28" t="n"/>
      <c r="I63" s="11" t="n"/>
      <c r="J63" s="17" t="n"/>
      <c r="K63" s="11" t="n"/>
      <c r="L63" s="11" t="n"/>
    </row>
    <row r="64" ht="22" customHeight="1">
      <c r="B64" s="15">
        <f>IF(C64="","EPI-"&amp;TEXT(COUNTA($C$5:C64),"000"))</f>
        <v/>
      </c>
      <c r="C64" s="13" t="n"/>
      <c r="D64" s="13" t="n"/>
      <c r="E64" s="23" t="n"/>
      <c r="F64" s="23" t="n"/>
      <c r="G64" s="23">
        <f>IF(E64="","",E64-F64)</f>
        <v/>
      </c>
      <c r="H64" s="29" t="n"/>
      <c r="I64" s="13" t="n"/>
      <c r="J64" s="18" t="n"/>
      <c r="K64" s="13" t="n"/>
      <c r="L64" s="13" t="n"/>
    </row>
    <row r="65" ht="22" customHeight="1">
      <c r="B65" s="16">
        <f>IF(C65="","EPI-"&amp;TEXT(COUNTA($C$5:C65),"000"))</f>
        <v/>
      </c>
      <c r="C65" s="11" t="n"/>
      <c r="D65" s="11" t="n"/>
      <c r="E65" s="22" t="n"/>
      <c r="F65" s="22" t="n"/>
      <c r="G65" s="22">
        <f>IF(E65="","",E65-F65)</f>
        <v/>
      </c>
      <c r="H65" s="28" t="n"/>
      <c r="I65" s="11" t="n"/>
      <c r="J65" s="17" t="n"/>
      <c r="K65" s="11" t="n"/>
      <c r="L65" s="11" t="n"/>
    </row>
    <row r="66" ht="22" customHeight="1">
      <c r="B66" s="15">
        <f>IF(C66="","EPI-"&amp;TEXT(COUNTA($C$5:C66),"000"))</f>
        <v/>
      </c>
      <c r="C66" s="13" t="n"/>
      <c r="D66" s="13" t="n"/>
      <c r="E66" s="23" t="n"/>
      <c r="F66" s="23" t="n"/>
      <c r="G66" s="23">
        <f>IF(E66="","",E66-F66)</f>
        <v/>
      </c>
      <c r="H66" s="29" t="n"/>
      <c r="I66" s="13" t="n"/>
      <c r="J66" s="18" t="n"/>
      <c r="K66" s="13" t="n"/>
      <c r="L66" s="13" t="n"/>
    </row>
    <row r="67" ht="22" customHeight="1">
      <c r="B67" s="16">
        <f>IF(C67="","EPI-"&amp;TEXT(COUNTA($C$5:C67),"000"))</f>
        <v/>
      </c>
      <c r="C67" s="11" t="n"/>
      <c r="D67" s="11" t="n"/>
      <c r="E67" s="22" t="n"/>
      <c r="F67" s="22" t="n"/>
      <c r="G67" s="22">
        <f>IF(E67="","",E67-F67)</f>
        <v/>
      </c>
      <c r="H67" s="28" t="n"/>
      <c r="I67" s="11" t="n"/>
      <c r="J67" s="17" t="n"/>
      <c r="K67" s="11" t="n"/>
      <c r="L67" s="11" t="n"/>
    </row>
    <row r="68" ht="22" customHeight="1">
      <c r="B68" s="15">
        <f>IF(C68="","EPI-"&amp;TEXT(COUNTA($C$5:C68),"000"))</f>
        <v/>
      </c>
      <c r="C68" s="13" t="n"/>
      <c r="D68" s="13" t="n"/>
      <c r="E68" s="23" t="n"/>
      <c r="F68" s="23" t="n"/>
      <c r="G68" s="23">
        <f>IF(E68="","",E68-F68)</f>
        <v/>
      </c>
      <c r="H68" s="29" t="n"/>
      <c r="I68" s="13" t="n"/>
      <c r="J68" s="18" t="n"/>
      <c r="K68" s="13" t="n"/>
      <c r="L68" s="13" t="n"/>
    </row>
    <row r="69" ht="22" customHeight="1">
      <c r="B69" s="16">
        <f>IF(C69="","EPI-"&amp;TEXT(COUNTA($C$5:C69),"000"))</f>
        <v/>
      </c>
      <c r="C69" s="11" t="n"/>
      <c r="D69" s="11" t="n"/>
      <c r="E69" s="22" t="n"/>
      <c r="F69" s="22" t="n"/>
      <c r="G69" s="22">
        <f>IF(E69="","",E69-F69)</f>
        <v/>
      </c>
      <c r="H69" s="28" t="n"/>
      <c r="I69" s="11" t="n"/>
      <c r="J69" s="17" t="n"/>
      <c r="K69" s="11" t="n"/>
      <c r="L69" s="11" t="n"/>
    </row>
    <row r="70" ht="22" customHeight="1">
      <c r="B70" s="15">
        <f>IF(C70="","EPI-"&amp;TEXT(COUNTA($C$5:C70),"000"))</f>
        <v/>
      </c>
      <c r="C70" s="13" t="n"/>
      <c r="D70" s="13" t="n"/>
      <c r="E70" s="23" t="n"/>
      <c r="F70" s="23" t="n"/>
      <c r="G70" s="23">
        <f>IF(E70="","",E70-F70)</f>
        <v/>
      </c>
      <c r="H70" s="29" t="n"/>
      <c r="I70" s="13" t="n"/>
      <c r="J70" s="18" t="n"/>
      <c r="K70" s="13" t="n"/>
      <c r="L70" s="13" t="n"/>
    </row>
    <row r="71" ht="22" customHeight="1">
      <c r="B71" s="16">
        <f>IF(C71="","EPI-"&amp;TEXT(COUNTA($C$5:C71),"000"))</f>
        <v/>
      </c>
      <c r="C71" s="11" t="n"/>
      <c r="D71" s="11" t="n"/>
      <c r="E71" s="22" t="n"/>
      <c r="F71" s="22" t="n"/>
      <c r="G71" s="22">
        <f>IF(E71="","",E71-F71)</f>
        <v/>
      </c>
      <c r="H71" s="28" t="n"/>
      <c r="I71" s="11" t="n"/>
      <c r="J71" s="17" t="n"/>
      <c r="K71" s="11" t="n"/>
      <c r="L71" s="11" t="n"/>
    </row>
    <row r="72" ht="22" customHeight="1">
      <c r="B72" s="15">
        <f>IF(C72="","EPI-"&amp;TEXT(COUNTA($C$5:C72),"000"))</f>
        <v/>
      </c>
      <c r="C72" s="13" t="n"/>
      <c r="D72" s="13" t="n"/>
      <c r="E72" s="23" t="n"/>
      <c r="F72" s="23" t="n"/>
      <c r="G72" s="23">
        <f>IF(E72="","",E72-F72)</f>
        <v/>
      </c>
      <c r="H72" s="29" t="n"/>
      <c r="I72" s="13" t="n"/>
      <c r="J72" s="18" t="n"/>
      <c r="K72" s="13" t="n"/>
      <c r="L72" s="13" t="n"/>
    </row>
    <row r="73" ht="22" customHeight="1">
      <c r="B73" s="16">
        <f>IF(C73="","EPI-"&amp;TEXT(COUNTA($C$5:C73),"000"))</f>
        <v/>
      </c>
      <c r="C73" s="11" t="n"/>
      <c r="D73" s="11" t="n"/>
      <c r="E73" s="22" t="n"/>
      <c r="F73" s="22" t="n"/>
      <c r="G73" s="22">
        <f>IF(E73="","",E73-F73)</f>
        <v/>
      </c>
      <c r="H73" s="28" t="n"/>
      <c r="I73" s="11" t="n"/>
      <c r="J73" s="17" t="n"/>
      <c r="K73" s="11" t="n"/>
      <c r="L73" s="11" t="n"/>
    </row>
    <row r="74" ht="22" customHeight="1">
      <c r="B74" s="15">
        <f>IF(C74="","EPI-"&amp;TEXT(COUNTA($C$5:C74),"000"))</f>
        <v/>
      </c>
      <c r="C74" s="13" t="n"/>
      <c r="D74" s="13" t="n"/>
      <c r="E74" s="23" t="n"/>
      <c r="F74" s="23" t="n"/>
      <c r="G74" s="23">
        <f>IF(E74="","",E74-F74)</f>
        <v/>
      </c>
      <c r="H74" s="29" t="n"/>
      <c r="I74" s="13" t="n"/>
      <c r="J74" s="18" t="n"/>
      <c r="K74" s="13" t="n"/>
      <c r="L74" s="13" t="n"/>
    </row>
    <row r="75" ht="22" customHeight="1">
      <c r="B75" s="16">
        <f>IF(C75="","EPI-"&amp;TEXT(COUNTA($C$5:C75),"000"))</f>
        <v/>
      </c>
      <c r="C75" s="11" t="n"/>
      <c r="D75" s="11" t="n"/>
      <c r="E75" s="22" t="n"/>
      <c r="F75" s="22" t="n"/>
      <c r="G75" s="22">
        <f>IF(E75="","",E75-F75)</f>
        <v/>
      </c>
      <c r="H75" s="28" t="n"/>
      <c r="I75" s="11" t="n"/>
      <c r="J75" s="17" t="n"/>
      <c r="K75" s="11" t="n"/>
      <c r="L75" s="11" t="n"/>
    </row>
    <row r="76" ht="22" customHeight="1">
      <c r="B76" s="15">
        <f>IF(C76="","EPI-"&amp;TEXT(COUNTA($C$5:C76),"000"))</f>
        <v/>
      </c>
      <c r="C76" s="13" t="n"/>
      <c r="D76" s="13" t="n"/>
      <c r="E76" s="23" t="n"/>
      <c r="F76" s="23" t="n"/>
      <c r="G76" s="23">
        <f>IF(E76="","",E76-F76)</f>
        <v/>
      </c>
      <c r="H76" s="29" t="n"/>
      <c r="I76" s="13" t="n"/>
      <c r="J76" s="18" t="n"/>
      <c r="K76" s="13" t="n"/>
      <c r="L76" s="13" t="n"/>
    </row>
    <row r="77" ht="22" customHeight="1">
      <c r="B77" s="16">
        <f>IF(C77="","EPI-"&amp;TEXT(COUNTA($C$5:C77),"000"))</f>
        <v/>
      </c>
      <c r="C77" s="11" t="n"/>
      <c r="D77" s="11" t="n"/>
      <c r="E77" s="22" t="n"/>
      <c r="F77" s="22" t="n"/>
      <c r="G77" s="22">
        <f>IF(E77="","",E77-F77)</f>
        <v/>
      </c>
      <c r="H77" s="28" t="n"/>
      <c r="I77" s="11" t="n"/>
      <c r="J77" s="17" t="n"/>
      <c r="K77" s="11" t="n"/>
      <c r="L77" s="11" t="n"/>
    </row>
    <row r="78" ht="22" customHeight="1">
      <c r="B78" s="15">
        <f>IF(C78="","EPI-"&amp;TEXT(COUNTA($C$5:C78),"000"))</f>
        <v/>
      </c>
      <c r="C78" s="13" t="n"/>
      <c r="D78" s="13" t="n"/>
      <c r="E78" s="23" t="n"/>
      <c r="F78" s="23" t="n"/>
      <c r="G78" s="23">
        <f>IF(E78="","",E78-F78)</f>
        <v/>
      </c>
      <c r="H78" s="29" t="n"/>
      <c r="I78" s="13" t="n"/>
      <c r="J78" s="18" t="n"/>
      <c r="K78" s="13" t="n"/>
      <c r="L78" s="13" t="n"/>
    </row>
    <row r="79" ht="22" customHeight="1">
      <c r="B79" s="16">
        <f>IF(C79="","EPI-"&amp;TEXT(COUNTA($C$5:C79),"000"))</f>
        <v/>
      </c>
      <c r="C79" s="11" t="n"/>
      <c r="D79" s="11" t="n"/>
      <c r="E79" s="22" t="n"/>
      <c r="F79" s="22" t="n"/>
      <c r="G79" s="22">
        <f>IF(E79="","",E79-F79)</f>
        <v/>
      </c>
      <c r="H79" s="28" t="n"/>
      <c r="I79" s="11" t="n"/>
      <c r="J79" s="17" t="n"/>
      <c r="K79" s="11" t="n"/>
      <c r="L79" s="11" t="n"/>
    </row>
    <row r="80" ht="22" customHeight="1">
      <c r="B80" s="15">
        <f>IF(C80="","EPI-"&amp;TEXT(COUNTA($C$5:C80),"000"))</f>
        <v/>
      </c>
      <c r="C80" s="13" t="n"/>
      <c r="D80" s="13" t="n"/>
      <c r="E80" s="23" t="n"/>
      <c r="F80" s="23" t="n"/>
      <c r="G80" s="23">
        <f>IF(E80="","",E80-F80)</f>
        <v/>
      </c>
      <c r="H80" s="29" t="n"/>
      <c r="I80" s="13" t="n"/>
      <c r="J80" s="18" t="n"/>
      <c r="K80" s="13" t="n"/>
      <c r="L80" s="13" t="n"/>
    </row>
    <row r="81" ht="22" customHeight="1">
      <c r="B81" s="16">
        <f>IF(C81="","EPI-"&amp;TEXT(COUNTA($C$5:C81),"000"))</f>
        <v/>
      </c>
      <c r="C81" s="11" t="n"/>
      <c r="D81" s="11" t="n"/>
      <c r="E81" s="22" t="n"/>
      <c r="F81" s="22" t="n"/>
      <c r="G81" s="22">
        <f>IF(E81="","",E81-F81)</f>
        <v/>
      </c>
      <c r="H81" s="28" t="n"/>
      <c r="I81" s="11" t="n"/>
      <c r="J81" s="17" t="n"/>
      <c r="K81" s="11" t="n"/>
      <c r="L81" s="11" t="n"/>
    </row>
    <row r="82" ht="22" customHeight="1">
      <c r="B82" s="15">
        <f>IF(C82="","EPI-"&amp;TEXT(COUNTA($C$5:C82),"000"))</f>
        <v/>
      </c>
      <c r="C82" s="13" t="n"/>
      <c r="D82" s="13" t="n"/>
      <c r="E82" s="23" t="n"/>
      <c r="F82" s="23" t="n"/>
      <c r="G82" s="23">
        <f>IF(E82="","",E82-F82)</f>
        <v/>
      </c>
      <c r="H82" s="29" t="n"/>
      <c r="I82" s="13" t="n"/>
      <c r="J82" s="18" t="n"/>
      <c r="K82" s="13" t="n"/>
      <c r="L82" s="13" t="n"/>
    </row>
    <row r="83" ht="22" customHeight="1">
      <c r="B83" s="16">
        <f>IF(C83="","EPI-"&amp;TEXT(COUNTA($C$5:C83),"000"))</f>
        <v/>
      </c>
      <c r="C83" s="11" t="n"/>
      <c r="D83" s="11" t="n"/>
      <c r="E83" s="22" t="n"/>
      <c r="F83" s="22" t="n"/>
      <c r="G83" s="22">
        <f>IF(E83="","",E83-F83)</f>
        <v/>
      </c>
      <c r="H83" s="28" t="n"/>
      <c r="I83" s="11" t="n"/>
      <c r="J83" s="17" t="n"/>
      <c r="K83" s="11" t="n"/>
      <c r="L83" s="11" t="n"/>
    </row>
    <row r="84" ht="22" customHeight="1">
      <c r="B84" s="15">
        <f>IF(C84="","EPI-"&amp;TEXT(COUNTA($C$5:C84),"000"))</f>
        <v/>
      </c>
      <c r="C84" s="13" t="n"/>
      <c r="D84" s="13" t="n"/>
      <c r="E84" s="23" t="n"/>
      <c r="F84" s="23" t="n"/>
      <c r="G84" s="23">
        <f>IF(E84="","",E84-F84)</f>
        <v/>
      </c>
      <c r="H84" s="29" t="n"/>
      <c r="I84" s="13" t="n"/>
      <c r="J84" s="18" t="n"/>
      <c r="K84" s="13" t="n"/>
      <c r="L84" s="13" t="n"/>
    </row>
    <row r="85" ht="22" customHeight="1">
      <c r="B85" s="16">
        <f>IF(C85="","EPI-"&amp;TEXT(COUNTA($C$5:C85),"000"))</f>
        <v/>
      </c>
      <c r="C85" s="11" t="n"/>
      <c r="D85" s="11" t="n"/>
      <c r="E85" s="22" t="n"/>
      <c r="F85" s="22" t="n"/>
      <c r="G85" s="22">
        <f>IF(E85="","",E85-F85)</f>
        <v/>
      </c>
      <c r="H85" s="28" t="n"/>
      <c r="I85" s="11" t="n"/>
      <c r="J85" s="17" t="n"/>
      <c r="K85" s="11" t="n"/>
      <c r="L85" s="11" t="n"/>
    </row>
    <row r="86" ht="22" customHeight="1">
      <c r="B86" s="15">
        <f>IF(C86="","EPI-"&amp;TEXT(COUNTA($C$5:C86),"000"))</f>
        <v/>
      </c>
      <c r="C86" s="13" t="n"/>
      <c r="D86" s="13" t="n"/>
      <c r="E86" s="23" t="n"/>
      <c r="F86" s="23" t="n"/>
      <c r="G86" s="23">
        <f>IF(E86="","",E86-F86)</f>
        <v/>
      </c>
      <c r="H86" s="29" t="n"/>
      <c r="I86" s="13" t="n"/>
      <c r="J86" s="18" t="n"/>
      <c r="K86" s="13" t="n"/>
      <c r="L86" s="13" t="n"/>
    </row>
    <row r="87" ht="22" customHeight="1">
      <c r="B87" s="16">
        <f>IF(C87="","EPI-"&amp;TEXT(COUNTA($C$5:C87),"000"))</f>
        <v/>
      </c>
      <c r="C87" s="11" t="n"/>
      <c r="D87" s="11" t="n"/>
      <c r="E87" s="22" t="n"/>
      <c r="F87" s="22" t="n"/>
      <c r="G87" s="22">
        <f>IF(E87="","",E87-F87)</f>
        <v/>
      </c>
      <c r="H87" s="28" t="n"/>
      <c r="I87" s="11" t="n"/>
      <c r="J87" s="17" t="n"/>
      <c r="K87" s="11" t="n"/>
      <c r="L87" s="11" t="n"/>
    </row>
    <row r="88" ht="22" customHeight="1">
      <c r="B88" s="15">
        <f>IF(C88="","EPI-"&amp;TEXT(COUNTA($C$5:C88),"000"))</f>
        <v/>
      </c>
      <c r="C88" s="13" t="n"/>
      <c r="D88" s="13" t="n"/>
      <c r="E88" s="23" t="n"/>
      <c r="F88" s="23" t="n"/>
      <c r="G88" s="23">
        <f>IF(E88="","",E88-F88)</f>
        <v/>
      </c>
      <c r="H88" s="29" t="n"/>
      <c r="I88" s="13" t="n"/>
      <c r="J88" s="18" t="n"/>
      <c r="K88" s="13" t="n"/>
      <c r="L88" s="13" t="n"/>
    </row>
    <row r="89" ht="22" customHeight="1">
      <c r="B89" s="16">
        <f>IF(C89="","EPI-"&amp;TEXT(COUNTA($C$5:C89),"000"))</f>
        <v/>
      </c>
      <c r="C89" s="11" t="n"/>
      <c r="D89" s="11" t="n"/>
      <c r="E89" s="22" t="n"/>
      <c r="F89" s="22" t="n"/>
      <c r="G89" s="22">
        <f>IF(E89="","",E89-F89)</f>
        <v/>
      </c>
      <c r="H89" s="28" t="n"/>
      <c r="I89" s="11" t="n"/>
      <c r="J89" s="17" t="n"/>
      <c r="K89" s="11" t="n"/>
      <c r="L89" s="11" t="n"/>
    </row>
    <row r="90" ht="22" customHeight="1">
      <c r="B90" s="15">
        <f>IF(C90="","EPI-"&amp;TEXT(COUNTA($C$5:C90),"000"))</f>
        <v/>
      </c>
      <c r="C90" s="13" t="n"/>
      <c r="D90" s="13" t="n"/>
      <c r="E90" s="23" t="n"/>
      <c r="F90" s="23" t="n"/>
      <c r="G90" s="23">
        <f>IF(E90="","",E90-F90)</f>
        <v/>
      </c>
      <c r="H90" s="29" t="n"/>
      <c r="I90" s="13" t="n"/>
      <c r="J90" s="18" t="n"/>
      <c r="K90" s="13" t="n"/>
      <c r="L90" s="13" t="n"/>
    </row>
    <row r="91" ht="22" customHeight="1">
      <c r="B91" s="16">
        <f>IF(C91="","EPI-"&amp;TEXT(COUNTA($C$5:C91),"000"))</f>
        <v/>
      </c>
      <c r="C91" s="11" t="n"/>
      <c r="D91" s="11" t="n"/>
      <c r="E91" s="22" t="n"/>
      <c r="F91" s="22" t="n"/>
      <c r="G91" s="22">
        <f>IF(E91="","",E91-F91)</f>
        <v/>
      </c>
      <c r="H91" s="28" t="n"/>
      <c r="I91" s="11" t="n"/>
      <c r="J91" s="17" t="n"/>
      <c r="K91" s="11" t="n"/>
      <c r="L91" s="11" t="n"/>
    </row>
    <row r="92" ht="22" customHeight="1">
      <c r="B92" s="15">
        <f>IF(C92="","EPI-"&amp;TEXT(COUNTA($C$5:C92),"000"))</f>
        <v/>
      </c>
      <c r="C92" s="13" t="n"/>
      <c r="D92" s="13" t="n"/>
      <c r="E92" s="23" t="n"/>
      <c r="F92" s="23" t="n"/>
      <c r="G92" s="23">
        <f>IF(E92="","",E92-F92)</f>
        <v/>
      </c>
      <c r="H92" s="29" t="n"/>
      <c r="I92" s="13" t="n"/>
      <c r="J92" s="18" t="n"/>
      <c r="K92" s="13" t="n"/>
      <c r="L92" s="13" t="n"/>
    </row>
    <row r="93" ht="22" customHeight="1">
      <c r="B93" s="16">
        <f>IF(C93="","EPI-"&amp;TEXT(COUNTA($C$5:C93),"000"))</f>
        <v/>
      </c>
      <c r="C93" s="11" t="n"/>
      <c r="D93" s="11" t="n"/>
      <c r="E93" s="22" t="n"/>
      <c r="F93" s="22" t="n"/>
      <c r="G93" s="22">
        <f>IF(E93="","",E93-F93)</f>
        <v/>
      </c>
      <c r="H93" s="28" t="n"/>
      <c r="I93" s="11" t="n"/>
      <c r="J93" s="17" t="n"/>
      <c r="K93" s="11" t="n"/>
      <c r="L93" s="11" t="n"/>
    </row>
    <row r="94" ht="22" customHeight="1">
      <c r="B94" s="15">
        <f>IF(C94="","EPI-"&amp;TEXT(COUNTA($C$5:C94),"000"))</f>
        <v/>
      </c>
      <c r="C94" s="13" t="n"/>
      <c r="D94" s="13" t="n"/>
      <c r="E94" s="23" t="n"/>
      <c r="F94" s="23" t="n"/>
      <c r="G94" s="23">
        <f>IF(E94="","",E94-F94)</f>
        <v/>
      </c>
      <c r="H94" s="29" t="n"/>
      <c r="I94" s="13" t="n"/>
      <c r="J94" s="18" t="n"/>
      <c r="K94" s="13" t="n"/>
      <c r="L94" s="13" t="n"/>
    </row>
    <row r="95" ht="22" customHeight="1">
      <c r="B95" s="16">
        <f>IF(C95="","EPI-"&amp;TEXT(COUNTA($C$5:C95),"000"))</f>
        <v/>
      </c>
      <c r="C95" s="11" t="n"/>
      <c r="D95" s="11" t="n"/>
      <c r="E95" s="22" t="n"/>
      <c r="F95" s="22" t="n"/>
      <c r="G95" s="22">
        <f>IF(E95="","",E95-F95)</f>
        <v/>
      </c>
      <c r="H95" s="28" t="n"/>
      <c r="I95" s="11" t="n"/>
      <c r="J95" s="17" t="n"/>
      <c r="K95" s="11" t="n"/>
      <c r="L95" s="11" t="n"/>
    </row>
    <row r="96" ht="22" customHeight="1">
      <c r="B96" s="15">
        <f>IF(C96="","EPI-"&amp;TEXT(COUNTA($C$5:C96),"000"))</f>
        <v/>
      </c>
      <c r="C96" s="13" t="n"/>
      <c r="D96" s="13" t="n"/>
      <c r="E96" s="23" t="n"/>
      <c r="F96" s="23" t="n"/>
      <c r="G96" s="23">
        <f>IF(E96="","",E96-F96)</f>
        <v/>
      </c>
      <c r="H96" s="29" t="n"/>
      <c r="I96" s="13" t="n"/>
      <c r="J96" s="18" t="n"/>
      <c r="K96" s="13" t="n"/>
      <c r="L96" s="13" t="n"/>
    </row>
    <row r="97" ht="22" customHeight="1">
      <c r="B97" s="16">
        <f>IF(C97="","EPI-"&amp;TEXT(COUNTA($C$5:C97),"000"))</f>
        <v/>
      </c>
      <c r="C97" s="11" t="n"/>
      <c r="D97" s="11" t="n"/>
      <c r="E97" s="22" t="n"/>
      <c r="F97" s="22" t="n"/>
      <c r="G97" s="22">
        <f>IF(E97="","",E97-F97)</f>
        <v/>
      </c>
      <c r="H97" s="28" t="n"/>
      <c r="I97" s="11" t="n"/>
      <c r="J97" s="17" t="n"/>
      <c r="K97" s="11" t="n"/>
      <c r="L97" s="11" t="n"/>
    </row>
    <row r="98" ht="22" customHeight="1">
      <c r="B98" s="15">
        <f>IF(C98="","EPI-"&amp;TEXT(COUNTA($C$5:C98),"000"))</f>
        <v/>
      </c>
      <c r="C98" s="13" t="n"/>
      <c r="D98" s="13" t="n"/>
      <c r="E98" s="23" t="n"/>
      <c r="F98" s="23" t="n"/>
      <c r="G98" s="23">
        <f>IF(E98="","",E98-F98)</f>
        <v/>
      </c>
      <c r="H98" s="29" t="n"/>
      <c r="I98" s="13" t="n"/>
      <c r="J98" s="18" t="n"/>
      <c r="K98" s="13" t="n"/>
      <c r="L98" s="13" t="n"/>
    </row>
    <row r="99" ht="22" customHeight="1">
      <c r="B99" s="16">
        <f>IF(C99="","EPI-"&amp;TEXT(COUNTA($C$5:C99),"000"))</f>
        <v/>
      </c>
      <c r="C99" s="11" t="n"/>
      <c r="D99" s="11" t="n"/>
      <c r="E99" s="22" t="n"/>
      <c r="F99" s="22" t="n"/>
      <c r="G99" s="22">
        <f>IF(E99="","",E99-F99)</f>
        <v/>
      </c>
      <c r="H99" s="28" t="n"/>
      <c r="I99" s="11" t="n"/>
      <c r="J99" s="17" t="n"/>
      <c r="K99" s="11" t="n"/>
      <c r="L99" s="11" t="n"/>
    </row>
    <row r="100" ht="22" customHeight="1">
      <c r="B100" s="15">
        <f>IF(C100="","EPI-"&amp;TEXT(COUNTA($C$5:C100),"000"))</f>
        <v/>
      </c>
      <c r="C100" s="13" t="n"/>
      <c r="D100" s="13" t="n"/>
      <c r="E100" s="23" t="n"/>
      <c r="F100" s="23" t="n"/>
      <c r="G100" s="23">
        <f>IF(E100="","",E100-F100)</f>
        <v/>
      </c>
      <c r="H100" s="29" t="n"/>
      <c r="I100" s="13" t="n"/>
      <c r="J100" s="18" t="n"/>
      <c r="K100" s="13" t="n"/>
      <c r="L100" s="13" t="n"/>
    </row>
    <row r="101" ht="22" customHeight="1">
      <c r="B101" s="16">
        <f>IF(C101="","EPI-"&amp;TEXT(COUNTA($C$5:C101),"000"))</f>
        <v/>
      </c>
      <c r="C101" s="11" t="n"/>
      <c r="D101" s="11" t="n"/>
      <c r="E101" s="22" t="n"/>
      <c r="F101" s="22" t="n"/>
      <c r="G101" s="22">
        <f>IF(E101="","",E101-F101)</f>
        <v/>
      </c>
      <c r="H101" s="28" t="n"/>
      <c r="I101" s="11" t="n"/>
      <c r="J101" s="17" t="n"/>
      <c r="K101" s="11" t="n"/>
      <c r="L101" s="11" t="n"/>
    </row>
    <row r="102" ht="22" customHeight="1">
      <c r="B102" s="15">
        <f>IF(C102="","EPI-"&amp;TEXT(COUNTA($C$5:C102),"000"))</f>
        <v/>
      </c>
      <c r="C102" s="13" t="n"/>
      <c r="D102" s="13" t="n"/>
      <c r="E102" s="23" t="n"/>
      <c r="F102" s="23" t="n"/>
      <c r="G102" s="23">
        <f>IF(E102="","",E102-F102)</f>
        <v/>
      </c>
      <c r="H102" s="29" t="n"/>
      <c r="I102" s="13" t="n"/>
      <c r="J102" s="18" t="n"/>
      <c r="K102" s="13" t="n"/>
      <c r="L102" s="13" t="n"/>
    </row>
    <row r="103" ht="22" customHeight="1">
      <c r="B103" s="16">
        <f>IF(C103="","EPI-"&amp;TEXT(COUNTA($C$5:C103),"000"))</f>
        <v/>
      </c>
      <c r="C103" s="11" t="n"/>
      <c r="D103" s="11" t="n"/>
      <c r="E103" s="22" t="n"/>
      <c r="F103" s="22" t="n"/>
      <c r="G103" s="22">
        <f>IF(E103="","",E103-F103)</f>
        <v/>
      </c>
      <c r="H103" s="28" t="n"/>
      <c r="I103" s="11" t="n"/>
      <c r="J103" s="17" t="n"/>
      <c r="K103" s="11" t="n"/>
      <c r="L103" s="11" t="n"/>
    </row>
    <row r="104" ht="22" customHeight="1">
      <c r="B104" s="15">
        <f>IF(C104="","EPI-"&amp;TEXT(COUNTA($C$5:C104),"000"))</f>
        <v/>
      </c>
      <c r="C104" s="13" t="n"/>
      <c r="D104" s="13" t="n"/>
      <c r="E104" s="23" t="n"/>
      <c r="F104" s="23" t="n"/>
      <c r="G104" s="23">
        <f>IF(E104="","",E104-F104)</f>
        <v/>
      </c>
      <c r="H104" s="29" t="n"/>
      <c r="I104" s="13" t="n"/>
      <c r="J104" s="18" t="n"/>
      <c r="K104" s="13" t="n"/>
      <c r="L104" s="13" t="n"/>
    </row>
    <row r="105" ht="22" customHeight="1">
      <c r="B105" s="16">
        <f>IF(C105="","EPI-"&amp;TEXT(COUNTA($C$5:C105),"000"))</f>
        <v/>
      </c>
      <c r="C105" s="11" t="n"/>
      <c r="D105" s="11" t="n"/>
      <c r="E105" s="22" t="n"/>
      <c r="F105" s="22" t="n"/>
      <c r="G105" s="22">
        <f>IF(E105="","",E105-F105)</f>
        <v/>
      </c>
      <c r="H105" s="28" t="n"/>
      <c r="I105" s="11" t="n"/>
      <c r="J105" s="17" t="n"/>
      <c r="K105" s="11" t="n"/>
      <c r="L105" s="11" t="n"/>
    </row>
    <row r="106" ht="22" customHeight="1">
      <c r="B106" s="15">
        <f>IF(C106="","EPI-"&amp;TEXT(COUNTA($C$5:C106),"000"))</f>
        <v/>
      </c>
      <c r="C106" s="13" t="n"/>
      <c r="D106" s="13" t="n"/>
      <c r="E106" s="23" t="n"/>
      <c r="F106" s="23" t="n"/>
      <c r="G106" s="23">
        <f>IF(E106="","",E106-F106)</f>
        <v/>
      </c>
      <c r="H106" s="29" t="n"/>
      <c r="I106" s="13" t="n"/>
      <c r="J106" s="18" t="n"/>
      <c r="K106" s="13" t="n"/>
      <c r="L106" s="13" t="n"/>
    </row>
    <row r="107" ht="22" customHeight="1">
      <c r="B107" s="16">
        <f>IF(C107="","EPI-"&amp;TEXT(COUNTA($C$5:C107),"000"))</f>
        <v/>
      </c>
      <c r="C107" s="11" t="n"/>
      <c r="D107" s="11" t="n"/>
      <c r="E107" s="22" t="n"/>
      <c r="F107" s="22" t="n"/>
      <c r="G107" s="22">
        <f>IF(E107="","",E107-F107)</f>
        <v/>
      </c>
      <c r="H107" s="28" t="n"/>
      <c r="I107" s="11" t="n"/>
      <c r="J107" s="17" t="n"/>
      <c r="K107" s="11" t="n"/>
      <c r="L107" s="11" t="n"/>
    </row>
    <row r="108" ht="22" customHeight="1">
      <c r="B108" s="15">
        <f>IF(C108="","EPI-"&amp;TEXT(COUNTA($C$5:C108),"000"))</f>
        <v/>
      </c>
      <c r="C108" s="13" t="n"/>
      <c r="D108" s="13" t="n"/>
      <c r="E108" s="23" t="n"/>
      <c r="F108" s="23" t="n"/>
      <c r="G108" s="23">
        <f>IF(E108="","",E108-F108)</f>
        <v/>
      </c>
      <c r="H108" s="29" t="n"/>
      <c r="I108" s="13" t="n"/>
      <c r="J108" s="18" t="n"/>
      <c r="K108" s="13" t="n"/>
      <c r="L108" s="13" t="n"/>
    </row>
    <row r="109" ht="22" customHeight="1">
      <c r="B109" s="16">
        <f>IF(C109="","EPI-"&amp;TEXT(COUNTA($C$5:C109),"000"))</f>
        <v/>
      </c>
      <c r="C109" s="11" t="n"/>
      <c r="D109" s="11" t="n"/>
      <c r="E109" s="22" t="n"/>
      <c r="F109" s="22" t="n"/>
      <c r="G109" s="22">
        <f>IF(E109="","",E109-F109)</f>
        <v/>
      </c>
      <c r="H109" s="28" t="n"/>
      <c r="I109" s="11" t="n"/>
      <c r="J109" s="17" t="n"/>
      <c r="K109" s="11" t="n"/>
      <c r="L109" s="11" t="n"/>
    </row>
    <row r="110" ht="22" customHeight="1">
      <c r="B110" s="15">
        <f>IF(C110="","EPI-"&amp;TEXT(COUNTA($C$5:C110),"000"))</f>
        <v/>
      </c>
      <c r="C110" s="13" t="n"/>
      <c r="D110" s="13" t="n"/>
      <c r="E110" s="23" t="n"/>
      <c r="F110" s="23" t="n"/>
      <c r="G110" s="23">
        <f>IF(E110="","",E110-F110)</f>
        <v/>
      </c>
      <c r="H110" s="29" t="n"/>
      <c r="I110" s="13" t="n"/>
      <c r="J110" s="18" t="n"/>
      <c r="K110" s="13" t="n"/>
      <c r="L110" s="13" t="n"/>
    </row>
    <row r="111"/>
    <row r="112" ht="26" customHeight="1">
      <c r="B112" s="19" t="inlineStr">
        <is>
          <t>TOTAL</t>
        </is>
      </c>
      <c r="C112" s="20" t="n"/>
      <c r="D112" s="20" t="n"/>
      <c r="E112" s="21">
        <f>SUM(E5:E104)</f>
        <v/>
      </c>
      <c r="F112" s="21">
        <f>SUM(F5:F104)</f>
        <v/>
      </c>
      <c r="G112" s="21">
        <f>SUM(G5:G104)</f>
        <v/>
      </c>
      <c r="H112" s="20" t="n"/>
      <c r="I112" s="20" t="n"/>
      <c r="J112" s="20" t="n"/>
      <c r="K112" s="20" t="n"/>
      <c r="L112" s="20" t="n"/>
    </row>
    <row r="113"/>
    <row r="114">
      <c r="B114" s="5" t="inlineStr">
        <is>
          <t>INDICATEURS (mis a jour automatiquement)</t>
        </is>
      </c>
    </row>
    <row r="115">
      <c r="B115" s="3" t="inlineStr">
        <is>
          <t>Types EPI</t>
        </is>
      </c>
      <c r="D115" s="3" t="inlineStr">
        <is>
          <t>Total en stock</t>
        </is>
      </c>
      <c r="F115" s="3" t="inlineStr">
        <is>
          <t>Total attribues</t>
        </is>
      </c>
      <c r="H115" s="3" t="inlineStr">
        <is>
          <t>A remplacer</t>
        </is>
      </c>
    </row>
    <row r="116">
      <c r="B116" s="4" t="inlineStr">
        <is>
          <t>Total EPI</t>
        </is>
      </c>
      <c r="D116" s="4">
        <f>COUNTIF(B5:B104,"&lt;&gt;")</f>
        <v/>
      </c>
      <c r="F116" s="4">
        <f>SUM(F5:F104)</f>
        <v/>
      </c>
      <c r="H116" s="4">
        <f>COUNTIF(L5:L104,"A remplacer")</f>
        <v/>
      </c>
    </row>
    <row r="117">
      <c r="B117" t="inlineStr">
        <is>
          <t>A remplacer</t>
        </is>
      </c>
      <c r="D117">
        <f>COUNTIF(L5:L104,"A remplacer")</f>
        <v/>
      </c>
    </row>
    <row r="118">
      <c r="B118" t="inlineStr">
        <is>
          <t>En stock</t>
        </is>
      </c>
      <c r="D118">
        <f>COUNTIF(L5:L104,"En stock")</f>
        <v/>
      </c>
    </row>
    <row r="119">
      <c r="B119" t="inlineStr">
        <is>
          <t>Total Qté Stock</t>
        </is>
      </c>
      <c r="D119">
        <f>SUM(E5:E104)</f>
        <v/>
      </c>
    </row>
    <row r="120">
      <c r="B120" t="inlineStr">
        <is>
          <t>Total Qté Attribuée</t>
        </is>
      </c>
      <c r="D120">
        <f>SUM(F5:F104)</f>
        <v/>
      </c>
    </row>
  </sheetData>
  <mergeCells count="3">
    <mergeCell ref="B2:L2"/>
    <mergeCell ref="B114:L114"/>
    <mergeCell ref="B3:L3"/>
  </mergeCells>
  <conditionalFormatting sqref="L5:L110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1:B110">
    <cfRule type="expression" priority="150" dxfId="0">
      <formula>AND($C11="",$C10&lt;&gt;"")</formula>
    </cfRule>
  </conditionalFormatting>
  <conditionalFormatting sqref="C11:C110">
    <cfRule type="expression" priority="151" dxfId="0">
      <formula>AND($C11="",$C10&lt;&gt;"")</formula>
    </cfRule>
  </conditionalFormatting>
  <conditionalFormatting sqref="D11:D110">
    <cfRule type="expression" priority="152" dxfId="0">
      <formula>AND($C11="",$C10&lt;&gt;"")</formula>
    </cfRule>
  </conditionalFormatting>
  <conditionalFormatting sqref="E11:E110">
    <cfRule type="expression" priority="153" dxfId="0">
      <formula>AND($C11="",$C10&lt;&gt;"")</formula>
    </cfRule>
  </conditionalFormatting>
  <conditionalFormatting sqref="F11:F110">
    <cfRule type="expression" priority="154" dxfId="0">
      <formula>AND($C11="",$C10&lt;&gt;"")</formula>
    </cfRule>
  </conditionalFormatting>
  <conditionalFormatting sqref="G11:G110">
    <cfRule type="expression" priority="155" dxfId="0">
      <formula>AND($C11="",$C10&lt;&gt;"")</formula>
    </cfRule>
  </conditionalFormatting>
  <conditionalFormatting sqref="H11:H110">
    <cfRule type="expression" priority="156" dxfId="0">
      <formula>AND($C11="",$C10&lt;&gt;"")</formula>
    </cfRule>
  </conditionalFormatting>
  <conditionalFormatting sqref="I11:I110">
    <cfRule type="expression" priority="157" dxfId="0">
      <formula>AND($C11="",$C10&lt;&gt;"")</formula>
    </cfRule>
  </conditionalFormatting>
  <conditionalFormatting sqref="J11:J110">
    <cfRule type="expression" priority="158" dxfId="0">
      <formula>AND($C11="",$C10&lt;&gt;"")</formula>
    </cfRule>
  </conditionalFormatting>
  <conditionalFormatting sqref="K11:K110">
    <cfRule type="expression" priority="159" dxfId="0">
      <formula>AND($C11="",$C10&lt;&gt;"")</formula>
    </cfRule>
  </conditionalFormatting>
  <conditionalFormatting sqref="L11:L110">
    <cfRule type="expression" priority="160" dxfId="0">
      <formula>AND($C11="",$C10&lt;&gt;"")</formula>
    </cfRule>
  </conditionalFormatting>
  <dataValidations count="3">
    <dataValidation sqref="C5:C110" showDropDown="0" showInputMessage="0" showErrorMessage="0" allowBlank="1" errorTitle="Erreur" error="Valeur invalide" promptTitle="Liste" prompt="Choisir dans la liste" type="list">
      <formula1>'_Lists'!$P$2:$P$12</formula1>
    </dataValidation>
    <dataValidation sqref="K5:K110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10" showDropDown="0" showInputMessage="0" showErrorMessage="0" allowBlank="1" errorTitle="Erreur" error="Valeur invalide" promptTitle="Liste" prompt="Choisir dans la liste" type="list">
      <formula1>'_Lists'!$Q$2:$Q$7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34" customWidth="1" min="4" max="4"/>
    <col width="22" customWidth="1" min="5" max="5"/>
    <col width="28" customWidth="1" min="6" max="6"/>
    <col width="44" customWidth="1" min="7" max="7"/>
    <col width="20" customWidth="1" min="8" max="8"/>
    <col width="16" customWidth="1" min="9" max="9"/>
    <col width="14" customWidth="1" min="10" max="10"/>
  </cols>
  <sheetData>
    <row r="1" ht="15" customHeight="1"/>
    <row r="2" ht="32" customHeight="1">
      <c r="B2" s="1" t="inlineStr">
        <is>
          <t>CONSIGNES DE SECURITE (#105)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Consigne</t>
        </is>
      </c>
      <c r="D4" s="10" t="inlineStr">
        <is>
          <t>Titre</t>
        </is>
      </c>
      <c r="E4" s="10" t="inlineStr">
        <is>
          <t>Departement Concerne</t>
        </is>
      </c>
      <c r="F4" s="10" t="inlineStr">
        <is>
          <t>Postes Concernes</t>
        </is>
      </c>
      <c r="G4" s="10" t="inlineStr">
        <is>
          <t>Contenu Resume</t>
        </is>
      </c>
      <c r="H4" s="10" t="inlineStr">
        <is>
          <t>Date Mise en Vigueur</t>
        </is>
      </c>
      <c r="I4" s="10" t="inlineStr">
        <is>
          <t>Date Revision</t>
        </is>
      </c>
      <c r="J4" s="10" t="inlineStr">
        <is>
          <t>Statut</t>
        </is>
      </c>
    </row>
    <row r="5" ht="22" customHeight="1">
      <c r="B5" s="11" t="inlineStr">
        <is>
          <t>CS-001</t>
        </is>
      </c>
      <c r="C5" s="11" t="inlineStr">
        <is>
          <t>Procedure urgence</t>
        </is>
      </c>
      <c r="D5" s="11" t="inlineStr">
        <is>
          <t>Procedure evacuation incendie</t>
        </is>
      </c>
      <c r="E5" s="11" t="inlineStr">
        <is>
          <t>Tous</t>
        </is>
      </c>
      <c r="F5" s="11" t="inlineStr">
        <is>
          <t>Tous</t>
        </is>
      </c>
      <c r="G5" s="11" t="inlineStr">
        <is>
          <t>Sonnerie alarme + issue secours + point rassemblement</t>
        </is>
      </c>
      <c r="H5" s="28" t="n">
        <v>45292</v>
      </c>
      <c r="I5" s="28" t="n">
        <v>46023</v>
      </c>
      <c r="J5" s="11" t="inlineStr">
        <is>
          <t>En vigueur</t>
        </is>
      </c>
    </row>
    <row r="6" ht="22" customHeight="1">
      <c r="B6" s="13" t="inlineStr">
        <is>
          <t>CS-002</t>
        </is>
      </c>
      <c r="C6" s="13" t="inlineStr">
        <is>
          <t>Consigne specifique poste</t>
        </is>
      </c>
      <c r="D6" s="13" t="inlineStr">
        <is>
          <t>Manipulation produits chimiques cuisine</t>
        </is>
      </c>
      <c r="E6" s="13" t="inlineStr">
        <is>
          <t>Cuisine &amp; Restauration</t>
        </is>
      </c>
      <c r="F6" s="13" t="inlineStr">
        <is>
          <t>Cuisinier, Plongeur</t>
        </is>
      </c>
      <c r="G6" s="13" t="inlineStr">
        <is>
          <t>Port EPI obligatoire, ventilation, stockage</t>
        </is>
      </c>
      <c r="H6" s="29" t="n">
        <v>45366</v>
      </c>
      <c r="I6" s="29" t="n">
        <v>45915</v>
      </c>
      <c r="J6" s="13" t="inlineStr">
        <is>
          <t>En vigueur</t>
        </is>
      </c>
    </row>
    <row r="7" ht="22" customHeight="1">
      <c r="B7" s="11" t="inlineStr">
        <is>
          <t>CS-003</t>
        </is>
      </c>
      <c r="C7" s="11" t="inlineStr">
        <is>
          <t>Permis de feu</t>
        </is>
      </c>
      <c r="D7" s="11" t="inlineStr">
        <is>
          <t>Travaux de soudure / meuleuse</t>
        </is>
      </c>
      <c r="E7" s="11" t="inlineStr">
        <is>
          <t>Maintenance</t>
        </is>
      </c>
      <c r="F7" s="11" t="inlineStr">
        <is>
          <t>Agent Entretien</t>
        </is>
      </c>
      <c r="G7" s="11" t="inlineStr">
        <is>
          <t>Surveillance 30min apres, extincteur a proximite</t>
        </is>
      </c>
      <c r="H7" s="28" t="n">
        <v>45444</v>
      </c>
      <c r="I7" s="28" t="n">
        <v>45992</v>
      </c>
      <c r="J7" s="11" t="inlineStr">
        <is>
          <t>En vigueur</t>
        </is>
      </c>
    </row>
    <row r="8" ht="22" customHeight="1">
      <c r="B8" s="13" t="inlineStr">
        <is>
          <t>CS-004</t>
        </is>
      </c>
      <c r="C8" s="13" t="inlineStr">
        <is>
          <t>Permis de travail en hauteur</t>
        </is>
      </c>
      <c r="D8" s="13" t="inlineStr">
        <is>
          <t>Travaux &gt; 3 metres</t>
        </is>
      </c>
      <c r="E8" s="13" t="inlineStr">
        <is>
          <t>Maintenance</t>
        </is>
      </c>
      <c r="F8" s="13" t="inlineStr">
        <is>
          <t>Agent Entretien</t>
        </is>
      </c>
      <c r="G8" s="13" t="inlineStr">
        <is>
          <t>Harnais obligatoire, 2 personnes min, balisage</t>
        </is>
      </c>
      <c r="H8" s="29" t="n">
        <v>45444</v>
      </c>
      <c r="I8" s="29" t="n">
        <v>45809</v>
      </c>
      <c r="J8" s="13" t="inlineStr">
        <is>
          <t>A revoir</t>
        </is>
      </c>
    </row>
    <row r="9" ht="22" customHeight="1">
      <c r="B9" s="11" t="inlineStr">
        <is>
          <t>CS-005</t>
        </is>
      </c>
      <c r="C9" s="11" t="inlineStr">
        <is>
          <t>Consigne generale</t>
        </is>
      </c>
      <c r="D9" s="11" t="inlineStr">
        <is>
          <t>Regles hygiene et securite alimentaire</t>
        </is>
      </c>
      <c r="E9" s="11" t="inlineStr">
        <is>
          <t>Cuisine &amp; Restauration</t>
        </is>
      </c>
      <c r="F9" s="11" t="inlineStr">
        <is>
          <t>Cuisinier, Plongeur</t>
        </is>
      </c>
      <c r="G9" s="11" t="inlineStr">
        <is>
          <t>Lavage mains, port charlotte, temperature</t>
        </is>
      </c>
      <c r="H9" s="28" t="n">
        <v>45292</v>
      </c>
      <c r="I9" s="28" t="n">
        <v>46022</v>
      </c>
      <c r="J9" s="11" t="inlineStr">
        <is>
          <t>En vigueur</t>
        </is>
      </c>
    </row>
    <row r="10" ht="22" customHeight="1">
      <c r="B10" s="15">
        <f>IF(C10="","CS-"&amp;TEXT(COUNTA($C$5:C10),"000"))</f>
        <v/>
      </c>
      <c r="C10" s="13" t="n"/>
      <c r="D10" s="13" t="n"/>
      <c r="E10" s="13" t="n"/>
      <c r="F10" s="13" t="n"/>
      <c r="G10" s="13" t="n"/>
      <c r="H10" s="29" t="n"/>
      <c r="I10" s="29" t="n"/>
      <c r="J10" s="13" t="n"/>
    </row>
    <row r="11" ht="22" customHeight="1">
      <c r="B11" s="16">
        <f>IF(C11="","CS-"&amp;TEXT(COUNTA($C$5:C11),"000"))</f>
        <v/>
      </c>
      <c r="C11" s="11" t="n"/>
      <c r="D11" s="11" t="n"/>
      <c r="E11" s="11" t="n"/>
      <c r="F11" s="11" t="n"/>
      <c r="G11" s="11" t="n"/>
      <c r="H11" s="28" t="n"/>
      <c r="I11" s="28" t="n"/>
      <c r="J11" s="11" t="n"/>
    </row>
    <row r="12" ht="22" customHeight="1">
      <c r="B12" s="15">
        <f>IF(C12="","CS-"&amp;TEXT(COUNTA($C$5:C12),"000"))</f>
        <v/>
      </c>
      <c r="C12" s="13" t="n"/>
      <c r="D12" s="13" t="n"/>
      <c r="E12" s="13" t="n"/>
      <c r="F12" s="13" t="n"/>
      <c r="G12" s="13" t="n"/>
      <c r="H12" s="29" t="n"/>
      <c r="I12" s="29" t="n"/>
      <c r="J12" s="13" t="n"/>
    </row>
    <row r="13" ht="22" customHeight="1">
      <c r="B13" s="16">
        <f>IF(C13="","CS-"&amp;TEXT(COUNTA($C$5:C13),"000"))</f>
        <v/>
      </c>
      <c r="C13" s="11" t="n"/>
      <c r="D13" s="11" t="n"/>
      <c r="E13" s="11" t="n"/>
      <c r="F13" s="11" t="n"/>
      <c r="G13" s="11" t="n"/>
      <c r="H13" s="28" t="n"/>
      <c r="I13" s="28" t="n"/>
      <c r="J13" s="11" t="n"/>
    </row>
    <row r="14" ht="22" customHeight="1">
      <c r="B14" s="15">
        <f>IF(C14="","CS-"&amp;TEXT(COUNTA($C$5:C14),"000"))</f>
        <v/>
      </c>
      <c r="C14" s="13" t="n"/>
      <c r="D14" s="13" t="n"/>
      <c r="E14" s="13" t="n"/>
      <c r="F14" s="13" t="n"/>
      <c r="G14" s="13" t="n"/>
      <c r="H14" s="29" t="n"/>
      <c r="I14" s="29" t="n"/>
      <c r="J14" s="13" t="n"/>
    </row>
    <row r="15" ht="22" customHeight="1">
      <c r="B15" s="16">
        <f>IF(C15="","CS-"&amp;TEXT(COUNTA($C$5:C15),"000"))</f>
        <v/>
      </c>
      <c r="C15" s="11" t="n"/>
      <c r="D15" s="11" t="n"/>
      <c r="E15" s="11" t="n"/>
      <c r="F15" s="11" t="n"/>
      <c r="G15" s="11" t="n"/>
      <c r="H15" s="28" t="n"/>
      <c r="I15" s="28" t="n"/>
      <c r="J15" s="11" t="n"/>
    </row>
    <row r="16" ht="22" customHeight="1">
      <c r="B16" s="15">
        <f>IF(C16="","CS-"&amp;TEXT(COUNTA($C$5:C16),"000"))</f>
        <v/>
      </c>
      <c r="C16" s="13" t="n"/>
      <c r="D16" s="13" t="n"/>
      <c r="E16" s="13" t="n"/>
      <c r="F16" s="13" t="n"/>
      <c r="G16" s="13" t="n"/>
      <c r="H16" s="29" t="n"/>
      <c r="I16" s="29" t="n"/>
      <c r="J16" s="13" t="n"/>
    </row>
    <row r="17" ht="22" customHeight="1">
      <c r="B17" s="16">
        <f>IF(C17="","CS-"&amp;TEXT(COUNTA($C$5:C17),"000"))</f>
        <v/>
      </c>
      <c r="C17" s="11" t="n"/>
      <c r="D17" s="11" t="n"/>
      <c r="E17" s="11" t="n"/>
      <c r="F17" s="11" t="n"/>
      <c r="G17" s="11" t="n"/>
      <c r="H17" s="28" t="n"/>
      <c r="I17" s="28" t="n"/>
      <c r="J17" s="11" t="n"/>
    </row>
    <row r="18" ht="22" customHeight="1">
      <c r="B18" s="15">
        <f>IF(C18="","CS-"&amp;TEXT(COUNTA($C$5:C18),"000"))</f>
        <v/>
      </c>
      <c r="C18" s="13" t="n"/>
      <c r="D18" s="13" t="n"/>
      <c r="E18" s="13" t="n"/>
      <c r="F18" s="13" t="n"/>
      <c r="G18" s="13" t="n"/>
      <c r="H18" s="29" t="n"/>
      <c r="I18" s="29" t="n"/>
      <c r="J18" s="13" t="n"/>
    </row>
    <row r="19" ht="22" customHeight="1">
      <c r="B19" s="16">
        <f>IF(C19="","CS-"&amp;TEXT(COUNTA($C$5:C19),"000"))</f>
        <v/>
      </c>
      <c r="C19" s="11" t="n"/>
      <c r="D19" s="11" t="n"/>
      <c r="E19" s="11" t="n"/>
      <c r="F19" s="11" t="n"/>
      <c r="G19" s="11" t="n"/>
      <c r="H19" s="28" t="n"/>
      <c r="I19" s="28" t="n"/>
      <c r="J19" s="11" t="n"/>
    </row>
    <row r="20" ht="22" customHeight="1">
      <c r="B20" s="15">
        <f>IF(C20="","CS-"&amp;TEXT(COUNTA($C$5:C20),"000"))</f>
        <v/>
      </c>
      <c r="C20" s="13" t="n"/>
      <c r="D20" s="13" t="n"/>
      <c r="E20" s="13" t="n"/>
      <c r="F20" s="13" t="n"/>
      <c r="G20" s="13" t="n"/>
      <c r="H20" s="29" t="n"/>
      <c r="I20" s="29" t="n"/>
      <c r="J20" s="13" t="n"/>
    </row>
    <row r="21" ht="22" customHeight="1">
      <c r="B21" s="16">
        <f>IF(C21="","CS-"&amp;TEXT(COUNTA($C$5:C21),"000"))</f>
        <v/>
      </c>
      <c r="C21" s="11" t="n"/>
      <c r="D21" s="11" t="n"/>
      <c r="E21" s="11" t="n"/>
      <c r="F21" s="11" t="n"/>
      <c r="G21" s="11" t="n"/>
      <c r="H21" s="28" t="n"/>
      <c r="I21" s="28" t="n"/>
      <c r="J21" s="11" t="n"/>
    </row>
    <row r="22" ht="22" customHeight="1">
      <c r="B22" s="15">
        <f>IF(C22="","CS-"&amp;TEXT(COUNTA($C$5:C22),"000"))</f>
        <v/>
      </c>
      <c r="C22" s="13" t="n"/>
      <c r="D22" s="13" t="n"/>
      <c r="E22" s="13" t="n"/>
      <c r="F22" s="13" t="n"/>
      <c r="G22" s="13" t="n"/>
      <c r="H22" s="29" t="n"/>
      <c r="I22" s="29" t="n"/>
      <c r="J22" s="13" t="n"/>
    </row>
    <row r="23" ht="22" customHeight="1">
      <c r="B23" s="16">
        <f>IF(C23="","CS-"&amp;TEXT(COUNTA($C$5:C23),"000"))</f>
        <v/>
      </c>
      <c r="C23" s="11" t="n"/>
      <c r="D23" s="11" t="n"/>
      <c r="E23" s="11" t="n"/>
      <c r="F23" s="11" t="n"/>
      <c r="G23" s="11" t="n"/>
      <c r="H23" s="28" t="n"/>
      <c r="I23" s="28" t="n"/>
      <c r="J23" s="11" t="n"/>
    </row>
    <row r="24" ht="22" customHeight="1">
      <c r="B24" s="15">
        <f>IF(C24="","CS-"&amp;TEXT(COUNTA($C$5:C24),"000"))</f>
        <v/>
      </c>
      <c r="C24" s="13" t="n"/>
      <c r="D24" s="13" t="n"/>
      <c r="E24" s="13" t="n"/>
      <c r="F24" s="13" t="n"/>
      <c r="G24" s="13" t="n"/>
      <c r="H24" s="29" t="n"/>
      <c r="I24" s="29" t="n"/>
      <c r="J24" s="13" t="n"/>
    </row>
    <row r="25" ht="22" customHeight="1">
      <c r="B25" s="16">
        <f>IF(C25="","CS-"&amp;TEXT(COUNTA($C$5:C25),"000"))</f>
        <v/>
      </c>
      <c r="C25" s="11" t="n"/>
      <c r="D25" s="11" t="n"/>
      <c r="E25" s="11" t="n"/>
      <c r="F25" s="11" t="n"/>
      <c r="G25" s="11" t="n"/>
      <c r="H25" s="28" t="n"/>
      <c r="I25" s="28" t="n"/>
      <c r="J25" s="11" t="n"/>
    </row>
    <row r="26" ht="22" customHeight="1">
      <c r="B26" s="15">
        <f>IF(C26="","CS-"&amp;TEXT(COUNTA($C$5:C26),"000"))</f>
        <v/>
      </c>
      <c r="C26" s="13" t="n"/>
      <c r="D26" s="13" t="n"/>
      <c r="E26" s="13" t="n"/>
      <c r="F26" s="13" t="n"/>
      <c r="G26" s="13" t="n"/>
      <c r="H26" s="29" t="n"/>
      <c r="I26" s="29" t="n"/>
      <c r="J26" s="13" t="n"/>
    </row>
    <row r="27" ht="22" customHeight="1">
      <c r="B27" s="16">
        <f>IF(C27="","CS-"&amp;TEXT(COUNTA($C$5:C27),"000"))</f>
        <v/>
      </c>
      <c r="C27" s="11" t="n"/>
      <c r="D27" s="11" t="n"/>
      <c r="E27" s="11" t="n"/>
      <c r="F27" s="11" t="n"/>
      <c r="G27" s="11" t="n"/>
      <c r="H27" s="28" t="n"/>
      <c r="I27" s="28" t="n"/>
      <c r="J27" s="11" t="n"/>
    </row>
    <row r="28" ht="22" customHeight="1">
      <c r="B28" s="15">
        <f>IF(C28="","CS-"&amp;TEXT(COUNTA($C$5:C28),"000"))</f>
        <v/>
      </c>
      <c r="C28" s="13" t="n"/>
      <c r="D28" s="13" t="n"/>
      <c r="E28" s="13" t="n"/>
      <c r="F28" s="13" t="n"/>
      <c r="G28" s="13" t="n"/>
      <c r="H28" s="29" t="n"/>
      <c r="I28" s="29" t="n"/>
      <c r="J28" s="13" t="n"/>
    </row>
    <row r="29" ht="22" customHeight="1">
      <c r="B29" s="16">
        <f>IF(C29="","CS-"&amp;TEXT(COUNTA($C$5:C29),"000"))</f>
        <v/>
      </c>
      <c r="C29" s="11" t="n"/>
      <c r="D29" s="11" t="n"/>
      <c r="E29" s="11" t="n"/>
      <c r="F29" s="11" t="n"/>
      <c r="G29" s="11" t="n"/>
      <c r="H29" s="28" t="n"/>
      <c r="I29" s="28" t="n"/>
      <c r="J29" s="11" t="n"/>
    </row>
    <row r="30" ht="22" customHeight="1">
      <c r="B30" s="15">
        <f>IF(C30="","CS-"&amp;TEXT(COUNTA($C$5:C30),"000"))</f>
        <v/>
      </c>
      <c r="C30" s="13" t="n"/>
      <c r="D30" s="13" t="n"/>
      <c r="E30" s="13" t="n"/>
      <c r="F30" s="13" t="n"/>
      <c r="G30" s="13" t="n"/>
      <c r="H30" s="29" t="n"/>
      <c r="I30" s="29" t="n"/>
      <c r="J30" s="13" t="n"/>
    </row>
    <row r="31" ht="22" customHeight="1">
      <c r="B31" s="16">
        <f>IF(C31="","CS-"&amp;TEXT(COUNTA($C$5:C31),"000"))</f>
        <v/>
      </c>
      <c r="C31" s="11" t="n"/>
      <c r="D31" s="11" t="n"/>
      <c r="E31" s="11" t="n"/>
      <c r="F31" s="11" t="n"/>
      <c r="G31" s="11" t="n"/>
      <c r="H31" s="28" t="n"/>
      <c r="I31" s="28" t="n"/>
      <c r="J31" s="11" t="n"/>
    </row>
    <row r="32" ht="22" customHeight="1">
      <c r="B32" s="15">
        <f>IF(C32="","CS-"&amp;TEXT(COUNTA($C$5:C32),"000"))</f>
        <v/>
      </c>
      <c r="C32" s="13" t="n"/>
      <c r="D32" s="13" t="n"/>
      <c r="E32" s="13" t="n"/>
      <c r="F32" s="13" t="n"/>
      <c r="G32" s="13" t="n"/>
      <c r="H32" s="29" t="n"/>
      <c r="I32" s="29" t="n"/>
      <c r="J32" s="13" t="n"/>
    </row>
    <row r="33" ht="22" customHeight="1">
      <c r="B33" s="16">
        <f>IF(C33="","CS-"&amp;TEXT(COUNTA($C$5:C33),"000"))</f>
        <v/>
      </c>
      <c r="C33" s="11" t="n"/>
      <c r="D33" s="11" t="n"/>
      <c r="E33" s="11" t="n"/>
      <c r="F33" s="11" t="n"/>
      <c r="G33" s="11" t="n"/>
      <c r="H33" s="28" t="n"/>
      <c r="I33" s="28" t="n"/>
      <c r="J33" s="11" t="n"/>
    </row>
    <row r="34" ht="22" customHeight="1">
      <c r="B34" s="15">
        <f>IF(C34="","CS-"&amp;TEXT(COUNTA($C$5:C34),"000"))</f>
        <v/>
      </c>
      <c r="C34" s="13" t="n"/>
      <c r="D34" s="13" t="n"/>
      <c r="E34" s="13" t="n"/>
      <c r="F34" s="13" t="n"/>
      <c r="G34" s="13" t="n"/>
      <c r="H34" s="29" t="n"/>
      <c r="I34" s="29" t="n"/>
      <c r="J34" s="13" t="n"/>
    </row>
    <row r="35" ht="22" customHeight="1">
      <c r="B35" s="16">
        <f>IF(C35="","CS-"&amp;TEXT(COUNTA($C$5:C35),"000"))</f>
        <v/>
      </c>
      <c r="C35" s="11" t="n"/>
      <c r="D35" s="11" t="n"/>
      <c r="E35" s="11" t="n"/>
      <c r="F35" s="11" t="n"/>
      <c r="G35" s="11" t="n"/>
      <c r="H35" s="28" t="n"/>
      <c r="I35" s="28" t="n"/>
      <c r="J35" s="11" t="n"/>
    </row>
    <row r="36" ht="22" customHeight="1">
      <c r="B36" s="15">
        <f>IF(C36="","CS-"&amp;TEXT(COUNTA($C$5:C36),"000"))</f>
        <v/>
      </c>
      <c r="C36" s="13" t="n"/>
      <c r="D36" s="13" t="n"/>
      <c r="E36" s="13" t="n"/>
      <c r="F36" s="13" t="n"/>
      <c r="G36" s="13" t="n"/>
      <c r="H36" s="29" t="n"/>
      <c r="I36" s="29" t="n"/>
      <c r="J36" s="13" t="n"/>
    </row>
    <row r="37" ht="22" customHeight="1">
      <c r="B37" s="16">
        <f>IF(C37="","CS-"&amp;TEXT(COUNTA($C$5:C37),"000"))</f>
        <v/>
      </c>
      <c r="C37" s="11" t="n"/>
      <c r="D37" s="11" t="n"/>
      <c r="E37" s="11" t="n"/>
      <c r="F37" s="11" t="n"/>
      <c r="G37" s="11" t="n"/>
      <c r="H37" s="28" t="n"/>
      <c r="I37" s="28" t="n"/>
      <c r="J37" s="11" t="n"/>
    </row>
    <row r="38" ht="22" customHeight="1">
      <c r="B38" s="15">
        <f>IF(C38="","CS-"&amp;TEXT(COUNTA($C$5:C38),"000"))</f>
        <v/>
      </c>
      <c r="C38" s="13" t="n"/>
      <c r="D38" s="13" t="n"/>
      <c r="E38" s="13" t="n"/>
      <c r="F38" s="13" t="n"/>
      <c r="G38" s="13" t="n"/>
      <c r="H38" s="29" t="n"/>
      <c r="I38" s="29" t="n"/>
      <c r="J38" s="13" t="n"/>
    </row>
    <row r="39" ht="22" customHeight="1">
      <c r="B39" s="16">
        <f>IF(C39="","CS-"&amp;TEXT(COUNTA($C$5:C39),"000"))</f>
        <v/>
      </c>
      <c r="C39" s="11" t="n"/>
      <c r="D39" s="11" t="n"/>
      <c r="E39" s="11" t="n"/>
      <c r="F39" s="11" t="n"/>
      <c r="G39" s="11" t="n"/>
      <c r="H39" s="28" t="n"/>
      <c r="I39" s="28" t="n"/>
      <c r="J39" s="11" t="n"/>
    </row>
    <row r="40" ht="22" customHeight="1">
      <c r="B40" s="15">
        <f>IF(C40="","CS-"&amp;TEXT(COUNTA($C$5:C40),"000"))</f>
        <v/>
      </c>
      <c r="C40" s="13" t="n"/>
      <c r="D40" s="13" t="n"/>
      <c r="E40" s="13" t="n"/>
      <c r="F40" s="13" t="n"/>
      <c r="G40" s="13" t="n"/>
      <c r="H40" s="29" t="n"/>
      <c r="I40" s="29" t="n"/>
      <c r="J40" s="13" t="n"/>
    </row>
    <row r="41" ht="22" customHeight="1">
      <c r="B41" s="16">
        <f>IF(C41="","CS-"&amp;TEXT(COUNTA($C$5:C41),"000"))</f>
        <v/>
      </c>
      <c r="C41" s="11" t="n"/>
      <c r="D41" s="11" t="n"/>
      <c r="E41" s="11" t="n"/>
      <c r="F41" s="11" t="n"/>
      <c r="G41" s="11" t="n"/>
      <c r="H41" s="28" t="n"/>
      <c r="I41" s="28" t="n"/>
      <c r="J41" s="11" t="n"/>
    </row>
    <row r="42" ht="22" customHeight="1">
      <c r="B42" s="15">
        <f>IF(C42="","CS-"&amp;TEXT(COUNTA($C$5:C42),"000"))</f>
        <v/>
      </c>
      <c r="C42" s="13" t="n"/>
      <c r="D42" s="13" t="n"/>
      <c r="E42" s="13" t="n"/>
      <c r="F42" s="13" t="n"/>
      <c r="G42" s="13" t="n"/>
      <c r="H42" s="29" t="n"/>
      <c r="I42" s="29" t="n"/>
      <c r="J42" s="13" t="n"/>
    </row>
    <row r="43" ht="22" customHeight="1">
      <c r="B43" s="16">
        <f>IF(C43="","CS-"&amp;TEXT(COUNTA($C$5:C43),"000"))</f>
        <v/>
      </c>
      <c r="C43" s="11" t="n"/>
      <c r="D43" s="11" t="n"/>
      <c r="E43" s="11" t="n"/>
      <c r="F43" s="11" t="n"/>
      <c r="G43" s="11" t="n"/>
      <c r="H43" s="28" t="n"/>
      <c r="I43" s="28" t="n"/>
      <c r="J43" s="11" t="n"/>
    </row>
    <row r="44" ht="22" customHeight="1">
      <c r="B44" s="15">
        <f>IF(C44="","CS-"&amp;TEXT(COUNTA($C$5:C44),"000"))</f>
        <v/>
      </c>
      <c r="C44" s="13" t="n"/>
      <c r="D44" s="13" t="n"/>
      <c r="E44" s="13" t="n"/>
      <c r="F44" s="13" t="n"/>
      <c r="G44" s="13" t="n"/>
      <c r="H44" s="29" t="n"/>
      <c r="I44" s="29" t="n"/>
      <c r="J44" s="13" t="n"/>
    </row>
    <row r="45" ht="22" customHeight="1">
      <c r="B45" s="16">
        <f>IF(C45="","CS-"&amp;TEXT(COUNTA($C$5:C45),"000"))</f>
        <v/>
      </c>
      <c r="C45" s="11" t="n"/>
      <c r="D45" s="11" t="n"/>
      <c r="E45" s="11" t="n"/>
      <c r="F45" s="11" t="n"/>
      <c r="G45" s="11" t="n"/>
      <c r="H45" s="28" t="n"/>
      <c r="I45" s="28" t="n"/>
      <c r="J45" s="11" t="n"/>
    </row>
    <row r="46" ht="22" customHeight="1">
      <c r="B46" s="15">
        <f>IF(C46="","CS-"&amp;TEXT(COUNTA($C$5:C46),"000"))</f>
        <v/>
      </c>
      <c r="C46" s="13" t="n"/>
      <c r="D46" s="13" t="n"/>
      <c r="E46" s="13" t="n"/>
      <c r="F46" s="13" t="n"/>
      <c r="G46" s="13" t="n"/>
      <c r="H46" s="29" t="n"/>
      <c r="I46" s="29" t="n"/>
      <c r="J46" s="13" t="n"/>
    </row>
    <row r="47" ht="22" customHeight="1">
      <c r="B47" s="16">
        <f>IF(C47="","CS-"&amp;TEXT(COUNTA($C$5:C47),"000"))</f>
        <v/>
      </c>
      <c r="C47" s="11" t="n"/>
      <c r="D47" s="11" t="n"/>
      <c r="E47" s="11" t="n"/>
      <c r="F47" s="11" t="n"/>
      <c r="G47" s="11" t="n"/>
      <c r="H47" s="28" t="n"/>
      <c r="I47" s="28" t="n"/>
      <c r="J47" s="11" t="n"/>
    </row>
    <row r="48" ht="22" customHeight="1">
      <c r="B48" s="15">
        <f>IF(C48="","CS-"&amp;TEXT(COUNTA($C$5:C48),"000"))</f>
        <v/>
      </c>
      <c r="C48" s="13" t="n"/>
      <c r="D48" s="13" t="n"/>
      <c r="E48" s="13" t="n"/>
      <c r="F48" s="13" t="n"/>
      <c r="G48" s="13" t="n"/>
      <c r="H48" s="29" t="n"/>
      <c r="I48" s="29" t="n"/>
      <c r="J48" s="13" t="n"/>
    </row>
    <row r="49" ht="22" customHeight="1">
      <c r="B49" s="16">
        <f>IF(C49="","CS-"&amp;TEXT(COUNTA($C$5:C49),"000"))</f>
        <v/>
      </c>
      <c r="C49" s="11" t="n"/>
      <c r="D49" s="11" t="n"/>
      <c r="E49" s="11" t="n"/>
      <c r="F49" s="11" t="n"/>
      <c r="G49" s="11" t="n"/>
      <c r="H49" s="28" t="n"/>
      <c r="I49" s="28" t="n"/>
      <c r="J49" s="11" t="n"/>
    </row>
    <row r="50" ht="22" customHeight="1">
      <c r="B50" s="15">
        <f>IF(C50="","CS-"&amp;TEXT(COUNTA($C$5:C50),"000"))</f>
        <v/>
      </c>
      <c r="C50" s="13" t="n"/>
      <c r="D50" s="13" t="n"/>
      <c r="E50" s="13" t="n"/>
      <c r="F50" s="13" t="n"/>
      <c r="G50" s="13" t="n"/>
      <c r="H50" s="29" t="n"/>
      <c r="I50" s="29" t="n"/>
      <c r="J50" s="13" t="n"/>
    </row>
    <row r="51" ht="22" customHeight="1">
      <c r="B51" s="16">
        <f>IF(C51="","CS-"&amp;TEXT(COUNTA($C$5:C51),"000"))</f>
        <v/>
      </c>
      <c r="C51" s="11" t="n"/>
      <c r="D51" s="11" t="n"/>
      <c r="E51" s="11" t="n"/>
      <c r="F51" s="11" t="n"/>
      <c r="G51" s="11" t="n"/>
      <c r="H51" s="28" t="n"/>
      <c r="I51" s="28" t="n"/>
      <c r="J51" s="11" t="n"/>
    </row>
    <row r="52" ht="22" customHeight="1">
      <c r="B52" s="15">
        <f>IF(C52="","CS-"&amp;TEXT(COUNTA($C$5:C52),"000"))</f>
        <v/>
      </c>
      <c r="C52" s="13" t="n"/>
      <c r="D52" s="13" t="n"/>
      <c r="E52" s="13" t="n"/>
      <c r="F52" s="13" t="n"/>
      <c r="G52" s="13" t="n"/>
      <c r="H52" s="29" t="n"/>
      <c r="I52" s="29" t="n"/>
      <c r="J52" s="13" t="n"/>
    </row>
    <row r="53" ht="22" customHeight="1">
      <c r="B53" s="16">
        <f>IF(C53="","CS-"&amp;TEXT(COUNTA($C$5:C53),"000"))</f>
        <v/>
      </c>
      <c r="C53" s="11" t="n"/>
      <c r="D53" s="11" t="n"/>
      <c r="E53" s="11" t="n"/>
      <c r="F53" s="11" t="n"/>
      <c r="G53" s="11" t="n"/>
      <c r="H53" s="28" t="n"/>
      <c r="I53" s="28" t="n"/>
      <c r="J53" s="11" t="n"/>
    </row>
    <row r="54" ht="22" customHeight="1">
      <c r="B54" s="15">
        <f>IF(C54="","CS-"&amp;TEXT(COUNTA($C$5:C54),"000"))</f>
        <v/>
      </c>
      <c r="C54" s="13" t="n"/>
      <c r="D54" s="13" t="n"/>
      <c r="E54" s="13" t="n"/>
      <c r="F54" s="13" t="n"/>
      <c r="G54" s="13" t="n"/>
      <c r="H54" s="29" t="n"/>
      <c r="I54" s="29" t="n"/>
      <c r="J54" s="13" t="n"/>
    </row>
    <row r="55" ht="22" customHeight="1">
      <c r="B55" s="16">
        <f>IF(C55="","CS-"&amp;TEXT(COUNTA($C$5:C55),"000"))</f>
        <v/>
      </c>
      <c r="C55" s="11" t="n"/>
      <c r="D55" s="11" t="n"/>
      <c r="E55" s="11" t="n"/>
      <c r="F55" s="11" t="n"/>
      <c r="G55" s="11" t="n"/>
      <c r="H55" s="28" t="n"/>
      <c r="I55" s="28" t="n"/>
      <c r="J55" s="11" t="n"/>
    </row>
    <row r="56" ht="22" customHeight="1">
      <c r="B56" s="15">
        <f>IF(C56="","CS-"&amp;TEXT(COUNTA($C$5:C56),"000"))</f>
        <v/>
      </c>
      <c r="C56" s="13" t="n"/>
      <c r="D56" s="13" t="n"/>
      <c r="E56" s="13" t="n"/>
      <c r="F56" s="13" t="n"/>
      <c r="G56" s="13" t="n"/>
      <c r="H56" s="29" t="n"/>
      <c r="I56" s="29" t="n"/>
      <c r="J56" s="13" t="n"/>
    </row>
    <row r="57" ht="22" customHeight="1">
      <c r="B57" s="16">
        <f>IF(C57="","CS-"&amp;TEXT(COUNTA($C$5:C57),"000"))</f>
        <v/>
      </c>
      <c r="C57" s="11" t="n"/>
      <c r="D57" s="11" t="n"/>
      <c r="E57" s="11" t="n"/>
      <c r="F57" s="11" t="n"/>
      <c r="G57" s="11" t="n"/>
      <c r="H57" s="28" t="n"/>
      <c r="I57" s="28" t="n"/>
      <c r="J57" s="11" t="n"/>
    </row>
    <row r="58" ht="22" customHeight="1">
      <c r="B58" s="15">
        <f>IF(C58="","CS-"&amp;TEXT(COUNTA($C$5:C58),"000"))</f>
        <v/>
      </c>
      <c r="C58" s="13" t="n"/>
      <c r="D58" s="13" t="n"/>
      <c r="E58" s="13" t="n"/>
      <c r="F58" s="13" t="n"/>
      <c r="G58" s="13" t="n"/>
      <c r="H58" s="29" t="n"/>
      <c r="I58" s="29" t="n"/>
      <c r="J58" s="13" t="n"/>
    </row>
    <row r="59" ht="22" customHeight="1">
      <c r="B59" s="16">
        <f>IF(C59="","CS-"&amp;TEXT(COUNTA($C$5:C59),"000"))</f>
        <v/>
      </c>
      <c r="C59" s="11" t="n"/>
      <c r="D59" s="11" t="n"/>
      <c r="E59" s="11" t="n"/>
      <c r="F59" s="11" t="n"/>
      <c r="G59" s="11" t="n"/>
      <c r="H59" s="28" t="n"/>
      <c r="I59" s="28" t="n"/>
      <c r="J59" s="11" t="n"/>
    </row>
    <row r="60" ht="22" customHeight="1">
      <c r="B60" s="15">
        <f>IF(C60="","CS-"&amp;TEXT(COUNTA($C$5:C60),"000"))</f>
        <v/>
      </c>
      <c r="C60" s="13" t="n"/>
      <c r="D60" s="13" t="n"/>
      <c r="E60" s="13" t="n"/>
      <c r="F60" s="13" t="n"/>
      <c r="G60" s="13" t="n"/>
      <c r="H60" s="29" t="n"/>
      <c r="I60" s="29" t="n"/>
      <c r="J60" s="13" t="n"/>
    </row>
    <row r="61" ht="22" customHeight="1">
      <c r="B61" s="16">
        <f>IF(C61="","CS-"&amp;TEXT(COUNTA($C$5:C61),"000"))</f>
        <v/>
      </c>
      <c r="C61" s="11" t="n"/>
      <c r="D61" s="11" t="n"/>
      <c r="E61" s="11" t="n"/>
      <c r="F61" s="11" t="n"/>
      <c r="G61" s="11" t="n"/>
      <c r="H61" s="28" t="n"/>
      <c r="I61" s="28" t="n"/>
      <c r="J61" s="11" t="n"/>
    </row>
    <row r="62" ht="22" customHeight="1">
      <c r="B62" s="15">
        <f>IF(C62="","CS-"&amp;TEXT(COUNTA($C$5:C62),"000"))</f>
        <v/>
      </c>
      <c r="C62" s="13" t="n"/>
      <c r="D62" s="13" t="n"/>
      <c r="E62" s="13" t="n"/>
      <c r="F62" s="13" t="n"/>
      <c r="G62" s="13" t="n"/>
      <c r="H62" s="29" t="n"/>
      <c r="I62" s="29" t="n"/>
      <c r="J62" s="13" t="n"/>
    </row>
    <row r="63" ht="22" customHeight="1">
      <c r="B63" s="16">
        <f>IF(C63="","CS-"&amp;TEXT(COUNTA($C$5:C63),"000"))</f>
        <v/>
      </c>
      <c r="C63" s="11" t="n"/>
      <c r="D63" s="11" t="n"/>
      <c r="E63" s="11" t="n"/>
      <c r="F63" s="11" t="n"/>
      <c r="G63" s="11" t="n"/>
      <c r="H63" s="28" t="n"/>
      <c r="I63" s="28" t="n"/>
      <c r="J63" s="11" t="n"/>
    </row>
    <row r="64" ht="22" customHeight="1">
      <c r="B64" s="15">
        <f>IF(C64="","CS-"&amp;TEXT(COUNTA($C$5:C64),"000"))</f>
        <v/>
      </c>
      <c r="C64" s="13" t="n"/>
      <c r="D64" s="13" t="n"/>
      <c r="E64" s="13" t="n"/>
      <c r="F64" s="13" t="n"/>
      <c r="G64" s="13" t="n"/>
      <c r="H64" s="29" t="n"/>
      <c r="I64" s="29" t="n"/>
      <c r="J64" s="13" t="n"/>
    </row>
    <row r="65" ht="22" customHeight="1">
      <c r="B65" s="16">
        <f>IF(C65="","CS-"&amp;TEXT(COUNTA($C$5:C65),"000"))</f>
        <v/>
      </c>
      <c r="C65" s="11" t="n"/>
      <c r="D65" s="11" t="n"/>
      <c r="E65" s="11" t="n"/>
      <c r="F65" s="11" t="n"/>
      <c r="G65" s="11" t="n"/>
      <c r="H65" s="28" t="n"/>
      <c r="I65" s="28" t="n"/>
      <c r="J65" s="11" t="n"/>
    </row>
    <row r="66" ht="22" customHeight="1">
      <c r="B66" s="15">
        <f>IF(C66="","CS-"&amp;TEXT(COUNTA($C$5:C66),"000"))</f>
        <v/>
      </c>
      <c r="C66" s="13" t="n"/>
      <c r="D66" s="13" t="n"/>
      <c r="E66" s="13" t="n"/>
      <c r="F66" s="13" t="n"/>
      <c r="G66" s="13" t="n"/>
      <c r="H66" s="29" t="n"/>
      <c r="I66" s="29" t="n"/>
      <c r="J66" s="13" t="n"/>
    </row>
    <row r="67" ht="22" customHeight="1">
      <c r="B67" s="16">
        <f>IF(C67="","CS-"&amp;TEXT(COUNTA($C$5:C67),"000"))</f>
        <v/>
      </c>
      <c r="C67" s="11" t="n"/>
      <c r="D67" s="11" t="n"/>
      <c r="E67" s="11" t="n"/>
      <c r="F67" s="11" t="n"/>
      <c r="G67" s="11" t="n"/>
      <c r="H67" s="28" t="n"/>
      <c r="I67" s="28" t="n"/>
      <c r="J67" s="11" t="n"/>
    </row>
    <row r="68" ht="22" customHeight="1">
      <c r="B68" s="15">
        <f>IF(C68="","CS-"&amp;TEXT(COUNTA($C$5:C68),"000"))</f>
        <v/>
      </c>
      <c r="C68" s="13" t="n"/>
      <c r="D68" s="13" t="n"/>
      <c r="E68" s="13" t="n"/>
      <c r="F68" s="13" t="n"/>
      <c r="G68" s="13" t="n"/>
      <c r="H68" s="29" t="n"/>
      <c r="I68" s="29" t="n"/>
      <c r="J68" s="13" t="n"/>
    </row>
    <row r="69" ht="22" customHeight="1">
      <c r="B69" s="16">
        <f>IF(C69="","CS-"&amp;TEXT(COUNTA($C$5:C69),"000"))</f>
        <v/>
      </c>
      <c r="C69" s="11" t="n"/>
      <c r="D69" s="11" t="n"/>
      <c r="E69" s="11" t="n"/>
      <c r="F69" s="11" t="n"/>
      <c r="G69" s="11" t="n"/>
      <c r="H69" s="28" t="n"/>
      <c r="I69" s="28" t="n"/>
      <c r="J69" s="11" t="n"/>
    </row>
    <row r="70" ht="22" customHeight="1">
      <c r="B70" s="15">
        <f>IF(C70="","CS-"&amp;TEXT(COUNTA($C$5:C70),"000"))</f>
        <v/>
      </c>
      <c r="C70" s="13" t="n"/>
      <c r="D70" s="13" t="n"/>
      <c r="E70" s="13" t="n"/>
      <c r="F70" s="13" t="n"/>
      <c r="G70" s="13" t="n"/>
      <c r="H70" s="29" t="n"/>
      <c r="I70" s="29" t="n"/>
      <c r="J70" s="13" t="n"/>
    </row>
    <row r="71" ht="22" customHeight="1">
      <c r="B71" s="16">
        <f>IF(C71="","CS-"&amp;TEXT(COUNTA($C$5:C71),"000"))</f>
        <v/>
      </c>
      <c r="C71" s="11" t="n"/>
      <c r="D71" s="11" t="n"/>
      <c r="E71" s="11" t="n"/>
      <c r="F71" s="11" t="n"/>
      <c r="G71" s="11" t="n"/>
      <c r="H71" s="28" t="n"/>
      <c r="I71" s="28" t="n"/>
      <c r="J71" s="11" t="n"/>
    </row>
    <row r="72" ht="22" customHeight="1">
      <c r="B72" s="15">
        <f>IF(C72="","CS-"&amp;TEXT(COUNTA($C$5:C72),"000"))</f>
        <v/>
      </c>
      <c r="C72" s="13" t="n"/>
      <c r="D72" s="13" t="n"/>
      <c r="E72" s="13" t="n"/>
      <c r="F72" s="13" t="n"/>
      <c r="G72" s="13" t="n"/>
      <c r="H72" s="29" t="n"/>
      <c r="I72" s="29" t="n"/>
      <c r="J72" s="13" t="n"/>
    </row>
    <row r="73" ht="22" customHeight="1">
      <c r="B73" s="16">
        <f>IF(C73="","CS-"&amp;TEXT(COUNTA($C$5:C73),"000"))</f>
        <v/>
      </c>
      <c r="C73" s="11" t="n"/>
      <c r="D73" s="11" t="n"/>
      <c r="E73" s="11" t="n"/>
      <c r="F73" s="11" t="n"/>
      <c r="G73" s="11" t="n"/>
      <c r="H73" s="28" t="n"/>
      <c r="I73" s="28" t="n"/>
      <c r="J73" s="11" t="n"/>
    </row>
    <row r="74" ht="22" customHeight="1">
      <c r="B74" s="15">
        <f>IF(C74="","CS-"&amp;TEXT(COUNTA($C$5:C74),"000"))</f>
        <v/>
      </c>
      <c r="C74" s="13" t="n"/>
      <c r="D74" s="13" t="n"/>
      <c r="E74" s="13" t="n"/>
      <c r="F74" s="13" t="n"/>
      <c r="G74" s="13" t="n"/>
      <c r="H74" s="29" t="n"/>
      <c r="I74" s="29" t="n"/>
      <c r="J74" s="13" t="n"/>
    </row>
    <row r="75" ht="22" customHeight="1">
      <c r="B75" s="16">
        <f>IF(C75="","CS-"&amp;TEXT(COUNTA($C$5:C75),"000"))</f>
        <v/>
      </c>
      <c r="C75" s="11" t="n"/>
      <c r="D75" s="11" t="n"/>
      <c r="E75" s="11" t="n"/>
      <c r="F75" s="11" t="n"/>
      <c r="G75" s="11" t="n"/>
      <c r="H75" s="28" t="n"/>
      <c r="I75" s="28" t="n"/>
      <c r="J75" s="11" t="n"/>
    </row>
    <row r="76" ht="22" customHeight="1">
      <c r="B76" s="15">
        <f>IF(C76="","CS-"&amp;TEXT(COUNTA($C$5:C76),"000"))</f>
        <v/>
      </c>
      <c r="C76" s="13" t="n"/>
      <c r="D76" s="13" t="n"/>
      <c r="E76" s="13" t="n"/>
      <c r="F76" s="13" t="n"/>
      <c r="G76" s="13" t="n"/>
      <c r="H76" s="29" t="n"/>
      <c r="I76" s="29" t="n"/>
      <c r="J76" s="13" t="n"/>
    </row>
    <row r="77" ht="22" customHeight="1">
      <c r="B77" s="16">
        <f>IF(C77="","CS-"&amp;TEXT(COUNTA($C$5:C77),"000"))</f>
        <v/>
      </c>
      <c r="C77" s="11" t="n"/>
      <c r="D77" s="11" t="n"/>
      <c r="E77" s="11" t="n"/>
      <c r="F77" s="11" t="n"/>
      <c r="G77" s="11" t="n"/>
      <c r="H77" s="28" t="n"/>
      <c r="I77" s="28" t="n"/>
      <c r="J77" s="11" t="n"/>
    </row>
    <row r="78" ht="22" customHeight="1">
      <c r="B78" s="15">
        <f>IF(C78="","CS-"&amp;TEXT(COUNTA($C$5:C78),"000"))</f>
        <v/>
      </c>
      <c r="C78" s="13" t="n"/>
      <c r="D78" s="13" t="n"/>
      <c r="E78" s="13" t="n"/>
      <c r="F78" s="13" t="n"/>
      <c r="G78" s="13" t="n"/>
      <c r="H78" s="29" t="n"/>
      <c r="I78" s="29" t="n"/>
      <c r="J78" s="13" t="n"/>
    </row>
    <row r="79" ht="22" customHeight="1">
      <c r="B79" s="16">
        <f>IF(C79="","CS-"&amp;TEXT(COUNTA($C$5:C79),"000"))</f>
        <v/>
      </c>
      <c r="C79" s="11" t="n"/>
      <c r="D79" s="11" t="n"/>
      <c r="E79" s="11" t="n"/>
      <c r="F79" s="11" t="n"/>
      <c r="G79" s="11" t="n"/>
      <c r="H79" s="28" t="n"/>
      <c r="I79" s="28" t="n"/>
      <c r="J79" s="11" t="n"/>
    </row>
    <row r="80" ht="22" customHeight="1">
      <c r="B80" s="15">
        <f>IF(C80="","CS-"&amp;TEXT(COUNTA($C$5:C80),"000"))</f>
        <v/>
      </c>
      <c r="C80" s="13" t="n"/>
      <c r="D80" s="13" t="n"/>
      <c r="E80" s="13" t="n"/>
      <c r="F80" s="13" t="n"/>
      <c r="G80" s="13" t="n"/>
      <c r="H80" s="29" t="n"/>
      <c r="I80" s="29" t="n"/>
      <c r="J80" s="13" t="n"/>
    </row>
    <row r="81" ht="22" customHeight="1">
      <c r="B81" s="16">
        <f>IF(C81="","CS-"&amp;TEXT(COUNTA($C$5:C81),"000"))</f>
        <v/>
      </c>
      <c r="C81" s="11" t="n"/>
      <c r="D81" s="11" t="n"/>
      <c r="E81" s="11" t="n"/>
      <c r="F81" s="11" t="n"/>
      <c r="G81" s="11" t="n"/>
      <c r="H81" s="28" t="n"/>
      <c r="I81" s="28" t="n"/>
      <c r="J81" s="11" t="n"/>
    </row>
    <row r="82" ht="22" customHeight="1">
      <c r="B82" s="15">
        <f>IF(C82="","CS-"&amp;TEXT(COUNTA($C$5:C82),"000"))</f>
        <v/>
      </c>
      <c r="C82" s="13" t="n"/>
      <c r="D82" s="13" t="n"/>
      <c r="E82" s="13" t="n"/>
      <c r="F82" s="13" t="n"/>
      <c r="G82" s="13" t="n"/>
      <c r="H82" s="29" t="n"/>
      <c r="I82" s="29" t="n"/>
      <c r="J82" s="13" t="n"/>
    </row>
    <row r="83" ht="22" customHeight="1">
      <c r="B83" s="16">
        <f>IF(C83="","CS-"&amp;TEXT(COUNTA($C$5:C83),"000"))</f>
        <v/>
      </c>
      <c r="C83" s="11" t="n"/>
      <c r="D83" s="11" t="n"/>
      <c r="E83" s="11" t="n"/>
      <c r="F83" s="11" t="n"/>
      <c r="G83" s="11" t="n"/>
      <c r="H83" s="28" t="n"/>
      <c r="I83" s="28" t="n"/>
      <c r="J83" s="11" t="n"/>
    </row>
    <row r="84" ht="22" customHeight="1">
      <c r="B84" s="15">
        <f>IF(C84="","CS-"&amp;TEXT(COUNTA($C$5:C84),"000"))</f>
        <v/>
      </c>
      <c r="C84" s="13" t="n"/>
      <c r="D84" s="13" t="n"/>
      <c r="E84" s="13" t="n"/>
      <c r="F84" s="13" t="n"/>
      <c r="G84" s="13" t="n"/>
      <c r="H84" s="29" t="n"/>
      <c r="I84" s="29" t="n"/>
      <c r="J84" s="13" t="n"/>
    </row>
    <row r="85" ht="22" customHeight="1">
      <c r="B85" s="16">
        <f>IF(C85="","CS-"&amp;TEXT(COUNTA($C$5:C85),"000"))</f>
        <v/>
      </c>
      <c r="C85" s="11" t="n"/>
      <c r="D85" s="11" t="n"/>
      <c r="E85" s="11" t="n"/>
      <c r="F85" s="11" t="n"/>
      <c r="G85" s="11" t="n"/>
      <c r="H85" s="28" t="n"/>
      <c r="I85" s="28" t="n"/>
      <c r="J85" s="11" t="n"/>
    </row>
    <row r="86" ht="22" customHeight="1">
      <c r="B86" s="15">
        <f>IF(C86="","CS-"&amp;TEXT(COUNTA($C$5:C86),"000"))</f>
        <v/>
      </c>
      <c r="C86" s="13" t="n"/>
      <c r="D86" s="13" t="n"/>
      <c r="E86" s="13" t="n"/>
      <c r="F86" s="13" t="n"/>
      <c r="G86" s="13" t="n"/>
      <c r="H86" s="29" t="n"/>
      <c r="I86" s="29" t="n"/>
      <c r="J86" s="13" t="n"/>
    </row>
    <row r="87" ht="22" customHeight="1">
      <c r="B87" s="16">
        <f>IF(C87="","CS-"&amp;TEXT(COUNTA($C$5:C87),"000"))</f>
        <v/>
      </c>
      <c r="C87" s="11" t="n"/>
      <c r="D87" s="11" t="n"/>
      <c r="E87" s="11" t="n"/>
      <c r="F87" s="11" t="n"/>
      <c r="G87" s="11" t="n"/>
      <c r="H87" s="28" t="n"/>
      <c r="I87" s="28" t="n"/>
      <c r="J87" s="11" t="n"/>
    </row>
    <row r="88" ht="22" customHeight="1">
      <c r="B88" s="15">
        <f>IF(C88="","CS-"&amp;TEXT(COUNTA($C$5:C88),"000"))</f>
        <v/>
      </c>
      <c r="C88" s="13" t="n"/>
      <c r="D88" s="13" t="n"/>
      <c r="E88" s="13" t="n"/>
      <c r="F88" s="13" t="n"/>
      <c r="G88" s="13" t="n"/>
      <c r="H88" s="29" t="n"/>
      <c r="I88" s="29" t="n"/>
      <c r="J88" s="13" t="n"/>
    </row>
    <row r="89" ht="22" customHeight="1">
      <c r="B89" s="16">
        <f>IF(C89="","CS-"&amp;TEXT(COUNTA($C$5:C89),"000"))</f>
        <v/>
      </c>
      <c r="C89" s="11" t="n"/>
      <c r="D89" s="11" t="n"/>
      <c r="E89" s="11" t="n"/>
      <c r="F89" s="11" t="n"/>
      <c r="G89" s="11" t="n"/>
      <c r="H89" s="28" t="n"/>
      <c r="I89" s="28" t="n"/>
      <c r="J89" s="11" t="n"/>
    </row>
    <row r="90" ht="22" customHeight="1">
      <c r="B90" s="15">
        <f>IF(C90="","CS-"&amp;TEXT(COUNTA($C$5:C90),"000"))</f>
        <v/>
      </c>
      <c r="C90" s="13" t="n"/>
      <c r="D90" s="13" t="n"/>
      <c r="E90" s="13" t="n"/>
      <c r="F90" s="13" t="n"/>
      <c r="G90" s="13" t="n"/>
      <c r="H90" s="29" t="n"/>
      <c r="I90" s="29" t="n"/>
      <c r="J90" s="13" t="n"/>
    </row>
    <row r="91" ht="22" customHeight="1">
      <c r="B91" s="16">
        <f>IF(C91="","CS-"&amp;TEXT(COUNTA($C$5:C91),"000"))</f>
        <v/>
      </c>
      <c r="C91" s="11" t="n"/>
      <c r="D91" s="11" t="n"/>
      <c r="E91" s="11" t="n"/>
      <c r="F91" s="11" t="n"/>
      <c r="G91" s="11" t="n"/>
      <c r="H91" s="28" t="n"/>
      <c r="I91" s="28" t="n"/>
      <c r="J91" s="11" t="n"/>
    </row>
    <row r="92" ht="22" customHeight="1">
      <c r="B92" s="15">
        <f>IF(C92="","CS-"&amp;TEXT(COUNTA($C$5:C92),"000"))</f>
        <v/>
      </c>
      <c r="C92" s="13" t="n"/>
      <c r="D92" s="13" t="n"/>
      <c r="E92" s="13" t="n"/>
      <c r="F92" s="13" t="n"/>
      <c r="G92" s="13" t="n"/>
      <c r="H92" s="29" t="n"/>
      <c r="I92" s="29" t="n"/>
      <c r="J92" s="13" t="n"/>
    </row>
    <row r="93" ht="22" customHeight="1">
      <c r="B93" s="16">
        <f>IF(C93="","CS-"&amp;TEXT(COUNTA($C$5:C93),"000"))</f>
        <v/>
      </c>
      <c r="C93" s="11" t="n"/>
      <c r="D93" s="11" t="n"/>
      <c r="E93" s="11" t="n"/>
      <c r="F93" s="11" t="n"/>
      <c r="G93" s="11" t="n"/>
      <c r="H93" s="28" t="n"/>
      <c r="I93" s="28" t="n"/>
      <c r="J93" s="11" t="n"/>
    </row>
    <row r="94" ht="22" customHeight="1">
      <c r="B94" s="15">
        <f>IF(C94="","CS-"&amp;TEXT(COUNTA($C$5:C94),"000"))</f>
        <v/>
      </c>
      <c r="C94" s="13" t="n"/>
      <c r="D94" s="13" t="n"/>
      <c r="E94" s="13" t="n"/>
      <c r="F94" s="13" t="n"/>
      <c r="G94" s="13" t="n"/>
      <c r="H94" s="29" t="n"/>
      <c r="I94" s="29" t="n"/>
      <c r="J94" s="13" t="n"/>
    </row>
    <row r="95" ht="22" customHeight="1">
      <c r="B95" s="16">
        <f>IF(C95="","CS-"&amp;TEXT(COUNTA($C$5:C95),"000"))</f>
        <v/>
      </c>
      <c r="C95" s="11" t="n"/>
      <c r="D95" s="11" t="n"/>
      <c r="E95" s="11" t="n"/>
      <c r="F95" s="11" t="n"/>
      <c r="G95" s="11" t="n"/>
      <c r="H95" s="28" t="n"/>
      <c r="I95" s="28" t="n"/>
      <c r="J95" s="11" t="n"/>
    </row>
    <row r="96" ht="22" customHeight="1">
      <c r="B96" s="15">
        <f>IF(C96="","CS-"&amp;TEXT(COUNTA($C$5:C96),"000"))</f>
        <v/>
      </c>
      <c r="C96" s="13" t="n"/>
      <c r="D96" s="13" t="n"/>
      <c r="E96" s="13" t="n"/>
      <c r="F96" s="13" t="n"/>
      <c r="G96" s="13" t="n"/>
      <c r="H96" s="29" t="n"/>
      <c r="I96" s="29" t="n"/>
      <c r="J96" s="13" t="n"/>
    </row>
    <row r="97" ht="22" customHeight="1">
      <c r="B97" s="16">
        <f>IF(C97="","CS-"&amp;TEXT(COUNTA($C$5:C97),"000"))</f>
        <v/>
      </c>
      <c r="C97" s="11" t="n"/>
      <c r="D97" s="11" t="n"/>
      <c r="E97" s="11" t="n"/>
      <c r="F97" s="11" t="n"/>
      <c r="G97" s="11" t="n"/>
      <c r="H97" s="28" t="n"/>
      <c r="I97" s="28" t="n"/>
      <c r="J97" s="11" t="n"/>
    </row>
    <row r="98" ht="22" customHeight="1">
      <c r="B98" s="15">
        <f>IF(C98="","CS-"&amp;TEXT(COUNTA($C$5:C98),"000"))</f>
        <v/>
      </c>
      <c r="C98" s="13" t="n"/>
      <c r="D98" s="13" t="n"/>
      <c r="E98" s="13" t="n"/>
      <c r="F98" s="13" t="n"/>
      <c r="G98" s="13" t="n"/>
      <c r="H98" s="29" t="n"/>
      <c r="I98" s="29" t="n"/>
      <c r="J98" s="13" t="n"/>
    </row>
    <row r="99" ht="22" customHeight="1">
      <c r="B99" s="16">
        <f>IF(C99="","CS-"&amp;TEXT(COUNTA($C$5:C99),"000"))</f>
        <v/>
      </c>
      <c r="C99" s="11" t="n"/>
      <c r="D99" s="11" t="n"/>
      <c r="E99" s="11" t="n"/>
      <c r="F99" s="11" t="n"/>
      <c r="G99" s="11" t="n"/>
      <c r="H99" s="28" t="n"/>
      <c r="I99" s="28" t="n"/>
      <c r="J99" s="11" t="n"/>
    </row>
    <row r="100" ht="22" customHeight="1">
      <c r="B100" s="15">
        <f>IF(C100="","CS-"&amp;TEXT(COUNTA($C$5:C100),"000"))</f>
        <v/>
      </c>
      <c r="C100" s="13" t="n"/>
      <c r="D100" s="13" t="n"/>
      <c r="E100" s="13" t="n"/>
      <c r="F100" s="13" t="n"/>
      <c r="G100" s="13" t="n"/>
      <c r="H100" s="29" t="n"/>
      <c r="I100" s="29" t="n"/>
      <c r="J100" s="13" t="n"/>
    </row>
    <row r="101" ht="22" customHeight="1">
      <c r="B101" s="16">
        <f>IF(C101="","CS-"&amp;TEXT(COUNTA($C$5:C101),"000"))</f>
        <v/>
      </c>
      <c r="C101" s="11" t="n"/>
      <c r="D101" s="11" t="n"/>
      <c r="E101" s="11" t="n"/>
      <c r="F101" s="11" t="n"/>
      <c r="G101" s="11" t="n"/>
      <c r="H101" s="28" t="n"/>
      <c r="I101" s="28" t="n"/>
      <c r="J101" s="11" t="n"/>
    </row>
    <row r="102" ht="22" customHeight="1">
      <c r="B102" s="15">
        <f>IF(C102="","CS-"&amp;TEXT(COUNTA($C$5:C102),"000"))</f>
        <v/>
      </c>
      <c r="C102" s="13" t="n"/>
      <c r="D102" s="13" t="n"/>
      <c r="E102" s="13" t="n"/>
      <c r="F102" s="13" t="n"/>
      <c r="G102" s="13" t="n"/>
      <c r="H102" s="29" t="n"/>
      <c r="I102" s="29" t="n"/>
      <c r="J102" s="13" t="n"/>
    </row>
    <row r="103" ht="22" customHeight="1">
      <c r="B103" s="16">
        <f>IF(C103="","CS-"&amp;TEXT(COUNTA($C$5:C103),"000"))</f>
        <v/>
      </c>
      <c r="C103" s="11" t="n"/>
      <c r="D103" s="11" t="n"/>
      <c r="E103" s="11" t="n"/>
      <c r="F103" s="11" t="n"/>
      <c r="G103" s="11" t="n"/>
      <c r="H103" s="28" t="n"/>
      <c r="I103" s="28" t="n"/>
      <c r="J103" s="11" t="n"/>
    </row>
    <row r="104" ht="22" customHeight="1">
      <c r="B104" s="15">
        <f>IF(C104="","CS-"&amp;TEXT(COUNTA($C$5:C104),"000"))</f>
        <v/>
      </c>
      <c r="C104" s="13" t="n"/>
      <c r="D104" s="13" t="n"/>
      <c r="E104" s="13" t="n"/>
      <c r="F104" s="13" t="n"/>
      <c r="G104" s="13" t="n"/>
      <c r="H104" s="29" t="n"/>
      <c r="I104" s="29" t="n"/>
      <c r="J104" s="13" t="n"/>
    </row>
    <row r="105" ht="22" customHeight="1">
      <c r="B105" s="16">
        <f>IF(C105="","CS-"&amp;TEXT(COUNTA($C$5:C105),"000"))</f>
        <v/>
      </c>
      <c r="C105" s="11" t="n"/>
      <c r="D105" s="11" t="n"/>
      <c r="E105" s="11" t="n"/>
      <c r="F105" s="11" t="n"/>
      <c r="G105" s="11" t="n"/>
      <c r="H105" s="28" t="n"/>
      <c r="I105" s="28" t="n"/>
      <c r="J105" s="11" t="n"/>
    </row>
    <row r="106" ht="22" customHeight="1">
      <c r="B106" s="15">
        <f>IF(C106="","CS-"&amp;TEXT(COUNTA($C$5:C106),"000"))</f>
        <v/>
      </c>
      <c r="C106" s="13" t="n"/>
      <c r="D106" s="13" t="n"/>
      <c r="E106" s="13" t="n"/>
      <c r="F106" s="13" t="n"/>
      <c r="G106" s="13" t="n"/>
      <c r="H106" s="29" t="n"/>
      <c r="I106" s="29" t="n"/>
      <c r="J106" s="13" t="n"/>
    </row>
    <row r="107" ht="22" customHeight="1">
      <c r="B107" s="16">
        <f>IF(C107="","CS-"&amp;TEXT(COUNTA($C$5:C107),"000"))</f>
        <v/>
      </c>
      <c r="C107" s="11" t="n"/>
      <c r="D107" s="11" t="n"/>
      <c r="E107" s="11" t="n"/>
      <c r="F107" s="11" t="n"/>
      <c r="G107" s="11" t="n"/>
      <c r="H107" s="28" t="n"/>
      <c r="I107" s="28" t="n"/>
      <c r="J107" s="11" t="n"/>
    </row>
    <row r="108" ht="22" customHeight="1">
      <c r="B108" s="15">
        <f>IF(C108="","CS-"&amp;TEXT(COUNTA($C$5:C108),"000"))</f>
        <v/>
      </c>
      <c r="C108" s="13" t="n"/>
      <c r="D108" s="13" t="n"/>
      <c r="E108" s="13" t="n"/>
      <c r="F108" s="13" t="n"/>
      <c r="G108" s="13" t="n"/>
      <c r="H108" s="29" t="n"/>
      <c r="I108" s="29" t="n"/>
      <c r="J108" s="13" t="n"/>
    </row>
    <row r="109" ht="22" customHeight="1">
      <c r="B109" s="16">
        <f>IF(C109="","CS-"&amp;TEXT(COUNTA($C$5:C109),"000"))</f>
        <v/>
      </c>
      <c r="C109" s="11" t="n"/>
      <c r="D109" s="11" t="n"/>
      <c r="E109" s="11" t="n"/>
      <c r="F109" s="11" t="n"/>
      <c r="G109" s="11" t="n"/>
      <c r="H109" s="28" t="n"/>
      <c r="I109" s="28" t="n"/>
      <c r="J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Consignes</t>
        </is>
      </c>
      <c r="D112" s="3" t="inlineStr">
        <is>
          <t>En vigueur</t>
        </is>
      </c>
      <c r="F112" s="3" t="inlineStr">
        <is>
          <t>A revoir</t>
        </is>
      </c>
      <c r="H112" s="3" t="inlineStr">
        <is>
          <t>Obsoletes</t>
        </is>
      </c>
    </row>
    <row r="113">
      <c r="B113" s="4">
        <f>COUNTIF(B5:B104,"&lt;&gt;")</f>
        <v/>
      </c>
      <c r="D113" s="4">
        <f>COUNTIF(J5:J104,"En vigueur")</f>
        <v/>
      </c>
      <c r="F113" s="4">
        <f>COUNTIF(J5:J104,"A revoir")</f>
        <v/>
      </c>
      <c r="H113" s="4">
        <f>COUNTIF(J5:J104,"Obsolette")</f>
        <v/>
      </c>
    </row>
  </sheetData>
  <mergeCells count="3">
    <mergeCell ref="B3:J3"/>
    <mergeCell ref="B2:J2"/>
    <mergeCell ref="B111:J111"/>
  </mergeCells>
  <conditionalFormatting sqref="J5:J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dataValidations count="3">
    <dataValidation sqref="C5:C109" showDropDown="0" showInputMessage="0" showErrorMessage="0" allowBlank="1" errorTitle="Erreur" error="Valeur invalide" promptTitle="Liste" prompt="Choisir dans la liste" type="list">
      <formula1>'_Lists'!$R$2:$R$7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9" showDropDown="0" showInputMessage="0" showErrorMessage="0" allowBlank="1" errorTitle="Erreur" error="Valeur invalide" promptTitle="Liste" prompt="Choisir dans la liste" type="list">
      <formula1>'_Lists'!$S$2:$S$6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2" customWidth="1" min="4" max="4"/>
    <col width="16" customWidth="1" min="5" max="5"/>
    <col width="28" customWidth="1" min="6" max="6"/>
    <col width="14" customWidth="1" min="7" max="7"/>
    <col width="16" customWidth="1" min="8" max="8"/>
    <col width="40" customWidth="1" min="9" max="9"/>
    <col width="16" customWidth="1" min="10" max="10"/>
    <col width="16" customWidth="1" min="11" max="11"/>
    <col width="14" customWidth="1" min="12" max="12"/>
  </cols>
  <sheetData>
    <row r="1" ht="15" customHeight="1"/>
    <row r="2" ht="32" customHeight="1">
      <c r="B2" s="1" t="inlineStr">
        <is>
          <t>AUDIT &amp; INSPECTION SECURITE (#106)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Audit</t>
        </is>
      </c>
      <c r="D4" s="10" t="inlineStr">
        <is>
          <t>Zone / Departement</t>
        </is>
      </c>
      <c r="E4" s="10" t="inlineStr">
        <is>
          <t>Date Inspection</t>
        </is>
      </c>
      <c r="F4" s="10" t="inlineStr">
        <is>
          <t>Inspecteur</t>
        </is>
      </c>
      <c r="G4" s="10" t="inlineStr">
        <is>
          <t>Nb Constats</t>
        </is>
      </c>
      <c r="H4" s="10" t="inlineStr">
        <is>
          <t>Nb Critiques</t>
        </is>
      </c>
      <c r="I4" s="10" t="inlineStr">
        <is>
          <t>Actions Correctives</t>
        </is>
      </c>
      <c r="J4" s="10" t="inlineStr">
        <is>
          <t>Echeance Actions</t>
        </is>
      </c>
      <c r="K4" s="10" t="inlineStr">
        <is>
          <t>Suivi Realise</t>
        </is>
      </c>
      <c r="L4" s="10" t="inlineStr">
        <is>
          <t>Statut</t>
        </is>
      </c>
    </row>
    <row r="5" ht="22" customHeight="1">
      <c r="B5" s="11" t="inlineStr">
        <is>
          <t>AUD-001</t>
        </is>
      </c>
      <c r="C5" s="11" t="inlineStr">
        <is>
          <t>Audit securite cuisine</t>
        </is>
      </c>
      <c r="D5" s="11" t="inlineStr">
        <is>
          <t>Cuisine &amp; Restauration</t>
        </is>
      </c>
      <c r="E5" s="28" t="n">
        <v>45757</v>
      </c>
      <c r="F5" s="11" t="inlineStr">
        <is>
          <t>Chef Securite + CHSCT</t>
        </is>
      </c>
      <c r="G5" s="22" t="n">
        <v>8</v>
      </c>
      <c r="H5" s="22" t="n">
        <v>3</v>
      </c>
      <c r="I5" s="11" t="inlineStr">
        <is>
          <t>3 actions correctives identifiees</t>
        </is>
      </c>
      <c r="J5" s="28" t="n">
        <v>45848</v>
      </c>
      <c r="K5" s="11" t="inlineStr">
        <is>
          <t>Oui</t>
        </is>
      </c>
      <c r="L5" s="11" t="inlineStr">
        <is>
          <t>Valide</t>
        </is>
      </c>
    </row>
    <row r="6" ht="22" customHeight="1">
      <c r="B6" s="13" t="inlineStr">
        <is>
          <t>AUD-002</t>
        </is>
      </c>
      <c r="C6" s="13" t="inlineStr">
        <is>
          <t>Inspection EPI</t>
        </is>
      </c>
      <c r="D6" s="13" t="inlineStr">
        <is>
          <t>Maintenance</t>
        </is>
      </c>
      <c r="E6" s="29" t="n">
        <v>45792</v>
      </c>
      <c r="F6" s="13" t="inlineStr">
        <is>
          <t>Chef Securite</t>
        </is>
      </c>
      <c r="G6" s="23" t="n">
        <v>5</v>
      </c>
      <c r="H6" s="23" t="n">
        <v>2</v>
      </c>
      <c r="I6" s="13" t="inlineStr">
        <is>
          <t>Remplacer 2 harnais + commander gants</t>
        </is>
      </c>
      <c r="J6" s="29" t="n">
        <v>45838</v>
      </c>
      <c r="K6" s="13" t="inlineStr">
        <is>
          <t>En cours</t>
        </is>
      </c>
      <c r="L6" s="13" t="inlineStr">
        <is>
          <t>Approuve</t>
        </is>
      </c>
    </row>
    <row r="7" ht="22" customHeight="1">
      <c r="B7" s="11" t="inlineStr">
        <is>
          <t>AUD-003</t>
        </is>
      </c>
      <c r="C7" s="11" t="inlineStr">
        <is>
          <t>Audit incendie</t>
        </is>
      </c>
      <c r="D7" s="11" t="inlineStr">
        <is>
          <t>Tous</t>
        </is>
      </c>
      <c r="E7" s="28" t="n">
        <v>45717</v>
      </c>
      <c r="F7" s="11" t="inlineStr">
        <is>
          <t>Chef Securite + Sapeurs-pompiers</t>
        </is>
      </c>
      <c r="G7" s="22" t="n">
        <v>12</v>
      </c>
      <c r="H7" s="22" t="n">
        <v>4</v>
      </c>
      <c r="I7" s="11" t="inlineStr">
        <is>
          <t>Reviser 4 extincteurs + formation evacuation</t>
        </is>
      </c>
      <c r="J7" s="28" t="n">
        <v>45838</v>
      </c>
      <c r="K7" s="11" t="inlineStr">
        <is>
          <t>Oui</t>
        </is>
      </c>
      <c r="L7" s="11" t="inlineStr">
        <is>
          <t>Approuve</t>
        </is>
      </c>
    </row>
    <row r="8" ht="22" customHeight="1">
      <c r="B8" s="13" t="inlineStr">
        <is>
          <t>AUD-004</t>
        </is>
      </c>
      <c r="C8" s="13" t="inlineStr">
        <is>
          <t>Inspection electrique</t>
        </is>
      </c>
      <c r="D8" s="13" t="inlineStr">
        <is>
          <t>Maintenance</t>
        </is>
      </c>
      <c r="E8" s="29" t="n">
        <v>45813</v>
      </c>
      <c r="F8" s="13" t="inlineStr">
        <is>
          <t>Technicien externe</t>
        </is>
      </c>
      <c r="G8" s="23" t="n">
        <v>6</v>
      </c>
      <c r="H8" s="23" t="n">
        <v>2</v>
      </c>
      <c r="I8" s="13" t="inlineStr">
        <is>
          <t>Remettre aux normes 2 prises + 1 tableau</t>
        </is>
      </c>
      <c r="J8" s="29" t="n">
        <v>45900</v>
      </c>
      <c r="K8" s="13" t="inlineStr">
        <is>
          <t>Non</t>
        </is>
      </c>
      <c r="L8" s="13" t="inlineStr">
        <is>
          <t>Brouillon</t>
        </is>
      </c>
    </row>
    <row r="9" ht="22" customHeight="1">
      <c r="B9" s="16">
        <f>IF(C9="","AUD-"&amp;TEXT(COUNTA($C$5:C9),"000"))</f>
        <v/>
      </c>
      <c r="C9" s="11" t="n"/>
      <c r="D9" s="11" t="n"/>
      <c r="E9" s="28" t="n"/>
      <c r="F9" s="11" t="n"/>
      <c r="G9" s="22" t="n"/>
      <c r="H9" s="22" t="n"/>
      <c r="I9" s="11" t="n"/>
      <c r="J9" s="28" t="n"/>
      <c r="K9" s="11" t="n"/>
      <c r="L9" s="11" t="n"/>
    </row>
    <row r="10" ht="22" customHeight="1">
      <c r="B10" s="15">
        <f>IF(C10="","AUD-"&amp;TEXT(COUNTA($C$5:C10),"000"))</f>
        <v/>
      </c>
      <c r="C10" s="13" t="n"/>
      <c r="D10" s="13" t="n"/>
      <c r="E10" s="29" t="n"/>
      <c r="F10" s="13" t="n"/>
      <c r="G10" s="23" t="n"/>
      <c r="H10" s="23" t="n"/>
      <c r="I10" s="13" t="n"/>
      <c r="J10" s="29" t="n"/>
      <c r="K10" s="13" t="n"/>
      <c r="L10" s="13" t="n"/>
    </row>
    <row r="11" ht="22" customHeight="1">
      <c r="B11" s="16">
        <f>IF(C11="","AUD-"&amp;TEXT(COUNTA($C$5:C11),"000"))</f>
        <v/>
      </c>
      <c r="C11" s="11" t="n"/>
      <c r="D11" s="11" t="n"/>
      <c r="E11" s="28" t="n"/>
      <c r="F11" s="11" t="n"/>
      <c r="G11" s="22" t="n"/>
      <c r="H11" s="22" t="n"/>
      <c r="I11" s="11" t="n"/>
      <c r="J11" s="28" t="n"/>
      <c r="K11" s="11" t="n"/>
      <c r="L11" s="11" t="n"/>
    </row>
    <row r="12" ht="22" customHeight="1">
      <c r="B12" s="15">
        <f>IF(C12="","AUD-"&amp;TEXT(COUNTA($C$5:C12),"000"))</f>
        <v/>
      </c>
      <c r="C12" s="13" t="n"/>
      <c r="D12" s="13" t="n"/>
      <c r="E12" s="29" t="n"/>
      <c r="F12" s="13" t="n"/>
      <c r="G12" s="23" t="n"/>
      <c r="H12" s="23" t="n"/>
      <c r="I12" s="13" t="n"/>
      <c r="J12" s="29" t="n"/>
      <c r="K12" s="13" t="n"/>
      <c r="L12" s="13" t="n"/>
    </row>
    <row r="13" ht="22" customHeight="1">
      <c r="B13" s="16">
        <f>IF(C13="","AUD-"&amp;TEXT(COUNTA($C$5:C13),"000"))</f>
        <v/>
      </c>
      <c r="C13" s="11" t="n"/>
      <c r="D13" s="11" t="n"/>
      <c r="E13" s="28" t="n"/>
      <c r="F13" s="11" t="n"/>
      <c r="G13" s="22" t="n"/>
      <c r="H13" s="22" t="n"/>
      <c r="I13" s="11" t="n"/>
      <c r="J13" s="28" t="n"/>
      <c r="K13" s="11" t="n"/>
      <c r="L13" s="11" t="n"/>
    </row>
    <row r="14" ht="22" customHeight="1">
      <c r="B14" s="15">
        <f>IF(C14="","AUD-"&amp;TEXT(COUNTA($C$5:C14),"000"))</f>
        <v/>
      </c>
      <c r="C14" s="13" t="n"/>
      <c r="D14" s="13" t="n"/>
      <c r="E14" s="29" t="n"/>
      <c r="F14" s="13" t="n"/>
      <c r="G14" s="23" t="n"/>
      <c r="H14" s="23" t="n"/>
      <c r="I14" s="13" t="n"/>
      <c r="J14" s="29" t="n"/>
      <c r="K14" s="13" t="n"/>
      <c r="L14" s="13" t="n"/>
    </row>
    <row r="15" ht="22" customHeight="1">
      <c r="B15" s="16">
        <f>IF(C15="","AUD-"&amp;TEXT(COUNTA($C$5:C15),"000"))</f>
        <v/>
      </c>
      <c r="C15" s="11" t="n"/>
      <c r="D15" s="11" t="n"/>
      <c r="E15" s="28" t="n"/>
      <c r="F15" s="11" t="n"/>
      <c r="G15" s="22" t="n"/>
      <c r="H15" s="22" t="n"/>
      <c r="I15" s="11" t="n"/>
      <c r="J15" s="28" t="n"/>
      <c r="K15" s="11" t="n"/>
      <c r="L15" s="11" t="n"/>
    </row>
    <row r="16" ht="22" customHeight="1">
      <c r="B16" s="15">
        <f>IF(C16="","AUD-"&amp;TEXT(COUNTA($C$5:C16),"000"))</f>
        <v/>
      </c>
      <c r="C16" s="13" t="n"/>
      <c r="D16" s="13" t="n"/>
      <c r="E16" s="29" t="n"/>
      <c r="F16" s="13" t="n"/>
      <c r="G16" s="23" t="n"/>
      <c r="H16" s="23" t="n"/>
      <c r="I16" s="13" t="n"/>
      <c r="J16" s="29" t="n"/>
      <c r="K16" s="13" t="n"/>
      <c r="L16" s="13" t="n"/>
    </row>
    <row r="17" ht="22" customHeight="1">
      <c r="B17" s="16">
        <f>IF(C17="","AUD-"&amp;TEXT(COUNTA($C$5:C17),"000"))</f>
        <v/>
      </c>
      <c r="C17" s="11" t="n"/>
      <c r="D17" s="11" t="n"/>
      <c r="E17" s="28" t="n"/>
      <c r="F17" s="11" t="n"/>
      <c r="G17" s="22" t="n"/>
      <c r="H17" s="22" t="n"/>
      <c r="I17" s="11" t="n"/>
      <c r="J17" s="28" t="n"/>
      <c r="K17" s="11" t="n"/>
      <c r="L17" s="11" t="n"/>
    </row>
    <row r="18" ht="22" customHeight="1">
      <c r="B18" s="15">
        <f>IF(C18="","AUD-"&amp;TEXT(COUNTA($C$5:C18),"000"))</f>
        <v/>
      </c>
      <c r="C18" s="13" t="n"/>
      <c r="D18" s="13" t="n"/>
      <c r="E18" s="29" t="n"/>
      <c r="F18" s="13" t="n"/>
      <c r="G18" s="23" t="n"/>
      <c r="H18" s="23" t="n"/>
      <c r="I18" s="13" t="n"/>
      <c r="J18" s="29" t="n"/>
      <c r="K18" s="13" t="n"/>
      <c r="L18" s="13" t="n"/>
    </row>
    <row r="19" ht="22" customHeight="1">
      <c r="B19" s="16">
        <f>IF(C19="","AUD-"&amp;TEXT(COUNTA($C$5:C19),"000"))</f>
        <v/>
      </c>
      <c r="C19" s="11" t="n"/>
      <c r="D19" s="11" t="n"/>
      <c r="E19" s="28" t="n"/>
      <c r="F19" s="11" t="n"/>
      <c r="G19" s="22" t="n"/>
      <c r="H19" s="22" t="n"/>
      <c r="I19" s="11" t="n"/>
      <c r="J19" s="28" t="n"/>
      <c r="K19" s="11" t="n"/>
      <c r="L19" s="11" t="n"/>
    </row>
    <row r="20" ht="22" customHeight="1">
      <c r="B20" s="15">
        <f>IF(C20="","AUD-"&amp;TEXT(COUNTA($C$5:C20),"000"))</f>
        <v/>
      </c>
      <c r="C20" s="13" t="n"/>
      <c r="D20" s="13" t="n"/>
      <c r="E20" s="29" t="n"/>
      <c r="F20" s="13" t="n"/>
      <c r="G20" s="23" t="n"/>
      <c r="H20" s="23" t="n"/>
      <c r="I20" s="13" t="n"/>
      <c r="J20" s="29" t="n"/>
      <c r="K20" s="13" t="n"/>
      <c r="L20" s="13" t="n"/>
    </row>
    <row r="21" ht="22" customHeight="1">
      <c r="B21" s="16">
        <f>IF(C21="","AUD-"&amp;TEXT(COUNTA($C$5:C21),"000"))</f>
        <v/>
      </c>
      <c r="C21" s="11" t="n"/>
      <c r="D21" s="11" t="n"/>
      <c r="E21" s="28" t="n"/>
      <c r="F21" s="11" t="n"/>
      <c r="G21" s="22" t="n"/>
      <c r="H21" s="22" t="n"/>
      <c r="I21" s="11" t="n"/>
      <c r="J21" s="28" t="n"/>
      <c r="K21" s="11" t="n"/>
      <c r="L21" s="11" t="n"/>
    </row>
    <row r="22" ht="22" customHeight="1">
      <c r="B22" s="15">
        <f>IF(C22="","AUD-"&amp;TEXT(COUNTA($C$5:C22),"000"))</f>
        <v/>
      </c>
      <c r="C22" s="13" t="n"/>
      <c r="D22" s="13" t="n"/>
      <c r="E22" s="29" t="n"/>
      <c r="F22" s="13" t="n"/>
      <c r="G22" s="23" t="n"/>
      <c r="H22" s="23" t="n"/>
      <c r="I22" s="13" t="n"/>
      <c r="J22" s="29" t="n"/>
      <c r="K22" s="13" t="n"/>
      <c r="L22" s="13" t="n"/>
    </row>
    <row r="23" ht="22" customHeight="1">
      <c r="B23" s="16">
        <f>IF(C23="","AUD-"&amp;TEXT(COUNTA($C$5:C23),"000"))</f>
        <v/>
      </c>
      <c r="C23" s="11" t="n"/>
      <c r="D23" s="11" t="n"/>
      <c r="E23" s="28" t="n"/>
      <c r="F23" s="11" t="n"/>
      <c r="G23" s="22" t="n"/>
      <c r="H23" s="22" t="n"/>
      <c r="I23" s="11" t="n"/>
      <c r="J23" s="28" t="n"/>
      <c r="K23" s="11" t="n"/>
      <c r="L23" s="11" t="n"/>
    </row>
    <row r="24" ht="22" customHeight="1">
      <c r="B24" s="15">
        <f>IF(C24="","AUD-"&amp;TEXT(COUNTA($C$5:C24),"000"))</f>
        <v/>
      </c>
      <c r="C24" s="13" t="n"/>
      <c r="D24" s="13" t="n"/>
      <c r="E24" s="29" t="n"/>
      <c r="F24" s="13" t="n"/>
      <c r="G24" s="23" t="n"/>
      <c r="H24" s="23" t="n"/>
      <c r="I24" s="13" t="n"/>
      <c r="J24" s="29" t="n"/>
      <c r="K24" s="13" t="n"/>
      <c r="L24" s="13" t="n"/>
    </row>
    <row r="25" ht="22" customHeight="1">
      <c r="B25" s="16">
        <f>IF(C25="","AUD-"&amp;TEXT(COUNTA($C$5:C25),"000"))</f>
        <v/>
      </c>
      <c r="C25" s="11" t="n"/>
      <c r="D25" s="11" t="n"/>
      <c r="E25" s="28" t="n"/>
      <c r="F25" s="11" t="n"/>
      <c r="G25" s="22" t="n"/>
      <c r="H25" s="22" t="n"/>
      <c r="I25" s="11" t="n"/>
      <c r="J25" s="28" t="n"/>
      <c r="K25" s="11" t="n"/>
      <c r="L25" s="11" t="n"/>
    </row>
    <row r="26" ht="22" customHeight="1">
      <c r="B26" s="15">
        <f>IF(C26="","AUD-"&amp;TEXT(COUNTA($C$5:C26),"000"))</f>
        <v/>
      </c>
      <c r="C26" s="13" t="n"/>
      <c r="D26" s="13" t="n"/>
      <c r="E26" s="29" t="n"/>
      <c r="F26" s="13" t="n"/>
      <c r="G26" s="23" t="n"/>
      <c r="H26" s="23" t="n"/>
      <c r="I26" s="13" t="n"/>
      <c r="J26" s="29" t="n"/>
      <c r="K26" s="13" t="n"/>
      <c r="L26" s="13" t="n"/>
    </row>
    <row r="27" ht="22" customHeight="1">
      <c r="B27" s="16">
        <f>IF(C27="","AUD-"&amp;TEXT(COUNTA($C$5:C27),"000"))</f>
        <v/>
      </c>
      <c r="C27" s="11" t="n"/>
      <c r="D27" s="11" t="n"/>
      <c r="E27" s="28" t="n"/>
      <c r="F27" s="11" t="n"/>
      <c r="G27" s="22" t="n"/>
      <c r="H27" s="22" t="n"/>
      <c r="I27" s="11" t="n"/>
      <c r="J27" s="28" t="n"/>
      <c r="K27" s="11" t="n"/>
      <c r="L27" s="11" t="n"/>
    </row>
    <row r="28" ht="22" customHeight="1">
      <c r="B28" s="15">
        <f>IF(C28="","AUD-"&amp;TEXT(COUNTA($C$5:C28),"000"))</f>
        <v/>
      </c>
      <c r="C28" s="13" t="n"/>
      <c r="D28" s="13" t="n"/>
      <c r="E28" s="29" t="n"/>
      <c r="F28" s="13" t="n"/>
      <c r="G28" s="23" t="n"/>
      <c r="H28" s="23" t="n"/>
      <c r="I28" s="13" t="n"/>
      <c r="J28" s="29" t="n"/>
      <c r="K28" s="13" t="n"/>
      <c r="L28" s="13" t="n"/>
    </row>
    <row r="29" ht="22" customHeight="1">
      <c r="B29" s="16">
        <f>IF(C29="","AUD-"&amp;TEXT(COUNTA($C$5:C29),"000"))</f>
        <v/>
      </c>
      <c r="C29" s="11" t="n"/>
      <c r="D29" s="11" t="n"/>
      <c r="E29" s="28" t="n"/>
      <c r="F29" s="11" t="n"/>
      <c r="G29" s="22" t="n"/>
      <c r="H29" s="22" t="n"/>
      <c r="I29" s="11" t="n"/>
      <c r="J29" s="28" t="n"/>
      <c r="K29" s="11" t="n"/>
      <c r="L29" s="11" t="n"/>
    </row>
    <row r="30" ht="22" customHeight="1">
      <c r="B30" s="15">
        <f>IF(C30="","AUD-"&amp;TEXT(COUNTA($C$5:C30),"000"))</f>
        <v/>
      </c>
      <c r="C30" s="13" t="n"/>
      <c r="D30" s="13" t="n"/>
      <c r="E30" s="29" t="n"/>
      <c r="F30" s="13" t="n"/>
      <c r="G30" s="23" t="n"/>
      <c r="H30" s="23" t="n"/>
      <c r="I30" s="13" t="n"/>
      <c r="J30" s="29" t="n"/>
      <c r="K30" s="13" t="n"/>
      <c r="L30" s="13" t="n"/>
    </row>
    <row r="31" ht="22" customHeight="1">
      <c r="B31" s="16">
        <f>IF(C31="","AUD-"&amp;TEXT(COUNTA($C$5:C31),"000"))</f>
        <v/>
      </c>
      <c r="C31" s="11" t="n"/>
      <c r="D31" s="11" t="n"/>
      <c r="E31" s="28" t="n"/>
      <c r="F31" s="11" t="n"/>
      <c r="G31" s="22" t="n"/>
      <c r="H31" s="22" t="n"/>
      <c r="I31" s="11" t="n"/>
      <c r="J31" s="28" t="n"/>
      <c r="K31" s="11" t="n"/>
      <c r="L31" s="11" t="n"/>
    </row>
    <row r="32" ht="22" customHeight="1">
      <c r="B32" s="15">
        <f>IF(C32="","AUD-"&amp;TEXT(COUNTA($C$5:C32),"000"))</f>
        <v/>
      </c>
      <c r="C32" s="13" t="n"/>
      <c r="D32" s="13" t="n"/>
      <c r="E32" s="29" t="n"/>
      <c r="F32" s="13" t="n"/>
      <c r="G32" s="23" t="n"/>
      <c r="H32" s="23" t="n"/>
      <c r="I32" s="13" t="n"/>
      <c r="J32" s="29" t="n"/>
      <c r="K32" s="13" t="n"/>
      <c r="L32" s="13" t="n"/>
    </row>
    <row r="33" ht="22" customHeight="1">
      <c r="B33" s="16">
        <f>IF(C33="","AUD-"&amp;TEXT(COUNTA($C$5:C33),"000"))</f>
        <v/>
      </c>
      <c r="C33" s="11" t="n"/>
      <c r="D33" s="11" t="n"/>
      <c r="E33" s="28" t="n"/>
      <c r="F33" s="11" t="n"/>
      <c r="G33" s="22" t="n"/>
      <c r="H33" s="22" t="n"/>
      <c r="I33" s="11" t="n"/>
      <c r="J33" s="28" t="n"/>
      <c r="K33" s="11" t="n"/>
      <c r="L33" s="11" t="n"/>
    </row>
    <row r="34" ht="22" customHeight="1">
      <c r="B34" s="15">
        <f>IF(C34="","AUD-"&amp;TEXT(COUNTA($C$5:C34),"000"))</f>
        <v/>
      </c>
      <c r="C34" s="13" t="n"/>
      <c r="D34" s="13" t="n"/>
      <c r="E34" s="29" t="n"/>
      <c r="F34" s="13" t="n"/>
      <c r="G34" s="23" t="n"/>
      <c r="H34" s="23" t="n"/>
      <c r="I34" s="13" t="n"/>
      <c r="J34" s="29" t="n"/>
      <c r="K34" s="13" t="n"/>
      <c r="L34" s="13" t="n"/>
    </row>
    <row r="35" ht="22" customHeight="1">
      <c r="B35" s="16">
        <f>IF(C35="","AUD-"&amp;TEXT(COUNTA($C$5:C35),"000"))</f>
        <v/>
      </c>
      <c r="C35" s="11" t="n"/>
      <c r="D35" s="11" t="n"/>
      <c r="E35" s="28" t="n"/>
      <c r="F35" s="11" t="n"/>
      <c r="G35" s="22" t="n"/>
      <c r="H35" s="22" t="n"/>
      <c r="I35" s="11" t="n"/>
      <c r="J35" s="28" t="n"/>
      <c r="K35" s="11" t="n"/>
      <c r="L35" s="11" t="n"/>
    </row>
    <row r="36" ht="22" customHeight="1">
      <c r="B36" s="15">
        <f>IF(C36="","AUD-"&amp;TEXT(COUNTA($C$5:C36),"000"))</f>
        <v/>
      </c>
      <c r="C36" s="13" t="n"/>
      <c r="D36" s="13" t="n"/>
      <c r="E36" s="29" t="n"/>
      <c r="F36" s="13" t="n"/>
      <c r="G36" s="23" t="n"/>
      <c r="H36" s="23" t="n"/>
      <c r="I36" s="13" t="n"/>
      <c r="J36" s="29" t="n"/>
      <c r="K36" s="13" t="n"/>
      <c r="L36" s="13" t="n"/>
    </row>
    <row r="37" ht="22" customHeight="1">
      <c r="B37" s="16">
        <f>IF(C37="","AUD-"&amp;TEXT(COUNTA($C$5:C37),"000"))</f>
        <v/>
      </c>
      <c r="C37" s="11" t="n"/>
      <c r="D37" s="11" t="n"/>
      <c r="E37" s="28" t="n"/>
      <c r="F37" s="11" t="n"/>
      <c r="G37" s="22" t="n"/>
      <c r="H37" s="22" t="n"/>
      <c r="I37" s="11" t="n"/>
      <c r="J37" s="28" t="n"/>
      <c r="K37" s="11" t="n"/>
      <c r="L37" s="11" t="n"/>
    </row>
    <row r="38" ht="22" customHeight="1">
      <c r="B38" s="15">
        <f>IF(C38="","AUD-"&amp;TEXT(COUNTA($C$5:C38),"000"))</f>
        <v/>
      </c>
      <c r="C38" s="13" t="n"/>
      <c r="D38" s="13" t="n"/>
      <c r="E38" s="29" t="n"/>
      <c r="F38" s="13" t="n"/>
      <c r="G38" s="23" t="n"/>
      <c r="H38" s="23" t="n"/>
      <c r="I38" s="13" t="n"/>
      <c r="J38" s="29" t="n"/>
      <c r="K38" s="13" t="n"/>
      <c r="L38" s="13" t="n"/>
    </row>
    <row r="39" ht="22" customHeight="1">
      <c r="B39" s="16">
        <f>IF(C39="","AUD-"&amp;TEXT(COUNTA($C$5:C39),"000"))</f>
        <v/>
      </c>
      <c r="C39" s="11" t="n"/>
      <c r="D39" s="11" t="n"/>
      <c r="E39" s="28" t="n"/>
      <c r="F39" s="11" t="n"/>
      <c r="G39" s="22" t="n"/>
      <c r="H39" s="22" t="n"/>
      <c r="I39" s="11" t="n"/>
      <c r="J39" s="28" t="n"/>
      <c r="K39" s="11" t="n"/>
      <c r="L39" s="11" t="n"/>
    </row>
    <row r="40" ht="22" customHeight="1">
      <c r="B40" s="15">
        <f>IF(C40="","AUD-"&amp;TEXT(COUNTA($C$5:C40),"000"))</f>
        <v/>
      </c>
      <c r="C40" s="13" t="n"/>
      <c r="D40" s="13" t="n"/>
      <c r="E40" s="29" t="n"/>
      <c r="F40" s="13" t="n"/>
      <c r="G40" s="23" t="n"/>
      <c r="H40" s="23" t="n"/>
      <c r="I40" s="13" t="n"/>
      <c r="J40" s="29" t="n"/>
      <c r="K40" s="13" t="n"/>
      <c r="L40" s="13" t="n"/>
    </row>
    <row r="41" ht="22" customHeight="1">
      <c r="B41" s="16">
        <f>IF(C41="","AUD-"&amp;TEXT(COUNTA($C$5:C41),"000"))</f>
        <v/>
      </c>
      <c r="C41" s="11" t="n"/>
      <c r="D41" s="11" t="n"/>
      <c r="E41" s="28" t="n"/>
      <c r="F41" s="11" t="n"/>
      <c r="G41" s="22" t="n"/>
      <c r="H41" s="22" t="n"/>
      <c r="I41" s="11" t="n"/>
      <c r="J41" s="28" t="n"/>
      <c r="K41" s="11" t="n"/>
      <c r="L41" s="11" t="n"/>
    </row>
    <row r="42" ht="22" customHeight="1">
      <c r="B42" s="15">
        <f>IF(C42="","AUD-"&amp;TEXT(COUNTA($C$5:C42),"000"))</f>
        <v/>
      </c>
      <c r="C42" s="13" t="n"/>
      <c r="D42" s="13" t="n"/>
      <c r="E42" s="29" t="n"/>
      <c r="F42" s="13" t="n"/>
      <c r="G42" s="23" t="n"/>
      <c r="H42" s="23" t="n"/>
      <c r="I42" s="13" t="n"/>
      <c r="J42" s="29" t="n"/>
      <c r="K42" s="13" t="n"/>
      <c r="L42" s="13" t="n"/>
    </row>
    <row r="43" ht="22" customHeight="1">
      <c r="B43" s="16">
        <f>IF(C43="","AUD-"&amp;TEXT(COUNTA($C$5:C43),"000"))</f>
        <v/>
      </c>
      <c r="C43" s="11" t="n"/>
      <c r="D43" s="11" t="n"/>
      <c r="E43" s="28" t="n"/>
      <c r="F43" s="11" t="n"/>
      <c r="G43" s="22" t="n"/>
      <c r="H43" s="22" t="n"/>
      <c r="I43" s="11" t="n"/>
      <c r="J43" s="28" t="n"/>
      <c r="K43" s="11" t="n"/>
      <c r="L43" s="11" t="n"/>
    </row>
    <row r="44" ht="22" customHeight="1">
      <c r="B44" s="15">
        <f>IF(C44="","AUD-"&amp;TEXT(COUNTA($C$5:C44),"000"))</f>
        <v/>
      </c>
      <c r="C44" s="13" t="n"/>
      <c r="D44" s="13" t="n"/>
      <c r="E44" s="29" t="n"/>
      <c r="F44" s="13" t="n"/>
      <c r="G44" s="23" t="n"/>
      <c r="H44" s="23" t="n"/>
      <c r="I44" s="13" t="n"/>
      <c r="J44" s="29" t="n"/>
      <c r="K44" s="13" t="n"/>
      <c r="L44" s="13" t="n"/>
    </row>
    <row r="45" ht="22" customHeight="1">
      <c r="B45" s="16">
        <f>IF(C45="","AUD-"&amp;TEXT(COUNTA($C$5:C45),"000"))</f>
        <v/>
      </c>
      <c r="C45" s="11" t="n"/>
      <c r="D45" s="11" t="n"/>
      <c r="E45" s="28" t="n"/>
      <c r="F45" s="11" t="n"/>
      <c r="G45" s="22" t="n"/>
      <c r="H45" s="22" t="n"/>
      <c r="I45" s="11" t="n"/>
      <c r="J45" s="28" t="n"/>
      <c r="K45" s="11" t="n"/>
      <c r="L45" s="11" t="n"/>
    </row>
    <row r="46" ht="22" customHeight="1">
      <c r="B46" s="15">
        <f>IF(C46="","AUD-"&amp;TEXT(COUNTA($C$5:C46),"000"))</f>
        <v/>
      </c>
      <c r="C46" s="13" t="n"/>
      <c r="D46" s="13" t="n"/>
      <c r="E46" s="29" t="n"/>
      <c r="F46" s="13" t="n"/>
      <c r="G46" s="23" t="n"/>
      <c r="H46" s="23" t="n"/>
      <c r="I46" s="13" t="n"/>
      <c r="J46" s="29" t="n"/>
      <c r="K46" s="13" t="n"/>
      <c r="L46" s="13" t="n"/>
    </row>
    <row r="47" ht="22" customHeight="1">
      <c r="B47" s="16">
        <f>IF(C47="","AUD-"&amp;TEXT(COUNTA($C$5:C47),"000"))</f>
        <v/>
      </c>
      <c r="C47" s="11" t="n"/>
      <c r="D47" s="11" t="n"/>
      <c r="E47" s="28" t="n"/>
      <c r="F47" s="11" t="n"/>
      <c r="G47" s="22" t="n"/>
      <c r="H47" s="22" t="n"/>
      <c r="I47" s="11" t="n"/>
      <c r="J47" s="28" t="n"/>
      <c r="K47" s="11" t="n"/>
      <c r="L47" s="11" t="n"/>
    </row>
    <row r="48" ht="22" customHeight="1">
      <c r="B48" s="15">
        <f>IF(C48="","AUD-"&amp;TEXT(COUNTA($C$5:C48),"000"))</f>
        <v/>
      </c>
      <c r="C48" s="13" t="n"/>
      <c r="D48" s="13" t="n"/>
      <c r="E48" s="29" t="n"/>
      <c r="F48" s="13" t="n"/>
      <c r="G48" s="23" t="n"/>
      <c r="H48" s="23" t="n"/>
      <c r="I48" s="13" t="n"/>
      <c r="J48" s="29" t="n"/>
      <c r="K48" s="13" t="n"/>
      <c r="L48" s="13" t="n"/>
    </row>
    <row r="49" ht="22" customHeight="1">
      <c r="B49" s="16">
        <f>IF(C49="","AUD-"&amp;TEXT(COUNTA($C$5:C49),"000"))</f>
        <v/>
      </c>
      <c r="C49" s="11" t="n"/>
      <c r="D49" s="11" t="n"/>
      <c r="E49" s="28" t="n"/>
      <c r="F49" s="11" t="n"/>
      <c r="G49" s="22" t="n"/>
      <c r="H49" s="22" t="n"/>
      <c r="I49" s="11" t="n"/>
      <c r="J49" s="28" t="n"/>
      <c r="K49" s="11" t="n"/>
      <c r="L49" s="11" t="n"/>
    </row>
    <row r="50" ht="22" customHeight="1">
      <c r="B50" s="15">
        <f>IF(C50="","AUD-"&amp;TEXT(COUNTA($C$5:C50),"000"))</f>
        <v/>
      </c>
      <c r="C50" s="13" t="n"/>
      <c r="D50" s="13" t="n"/>
      <c r="E50" s="29" t="n"/>
      <c r="F50" s="13" t="n"/>
      <c r="G50" s="23" t="n"/>
      <c r="H50" s="23" t="n"/>
      <c r="I50" s="13" t="n"/>
      <c r="J50" s="29" t="n"/>
      <c r="K50" s="13" t="n"/>
      <c r="L50" s="13" t="n"/>
    </row>
    <row r="51" ht="22" customHeight="1">
      <c r="B51" s="16">
        <f>IF(C51="","AUD-"&amp;TEXT(COUNTA($C$5:C51),"000"))</f>
        <v/>
      </c>
      <c r="C51" s="11" t="n"/>
      <c r="D51" s="11" t="n"/>
      <c r="E51" s="28" t="n"/>
      <c r="F51" s="11" t="n"/>
      <c r="G51" s="22" t="n"/>
      <c r="H51" s="22" t="n"/>
      <c r="I51" s="11" t="n"/>
      <c r="J51" s="28" t="n"/>
      <c r="K51" s="11" t="n"/>
      <c r="L51" s="11" t="n"/>
    </row>
    <row r="52" ht="22" customHeight="1">
      <c r="B52" s="15">
        <f>IF(C52="","AUD-"&amp;TEXT(COUNTA($C$5:C52),"000"))</f>
        <v/>
      </c>
      <c r="C52" s="13" t="n"/>
      <c r="D52" s="13" t="n"/>
      <c r="E52" s="29" t="n"/>
      <c r="F52" s="13" t="n"/>
      <c r="G52" s="23" t="n"/>
      <c r="H52" s="23" t="n"/>
      <c r="I52" s="13" t="n"/>
      <c r="J52" s="29" t="n"/>
      <c r="K52" s="13" t="n"/>
      <c r="L52" s="13" t="n"/>
    </row>
    <row r="53" ht="22" customHeight="1">
      <c r="B53" s="16">
        <f>IF(C53="","AUD-"&amp;TEXT(COUNTA($C$5:C53),"000"))</f>
        <v/>
      </c>
      <c r="C53" s="11" t="n"/>
      <c r="D53" s="11" t="n"/>
      <c r="E53" s="28" t="n"/>
      <c r="F53" s="11" t="n"/>
      <c r="G53" s="22" t="n"/>
      <c r="H53" s="22" t="n"/>
      <c r="I53" s="11" t="n"/>
      <c r="J53" s="28" t="n"/>
      <c r="K53" s="11" t="n"/>
      <c r="L53" s="11" t="n"/>
    </row>
    <row r="54" ht="22" customHeight="1">
      <c r="B54" s="15">
        <f>IF(C54="","AUD-"&amp;TEXT(COUNTA($C$5:C54),"000"))</f>
        <v/>
      </c>
      <c r="C54" s="13" t="n"/>
      <c r="D54" s="13" t="n"/>
      <c r="E54" s="29" t="n"/>
      <c r="F54" s="13" t="n"/>
      <c r="G54" s="23" t="n"/>
      <c r="H54" s="23" t="n"/>
      <c r="I54" s="13" t="n"/>
      <c r="J54" s="29" t="n"/>
      <c r="K54" s="13" t="n"/>
      <c r="L54" s="13" t="n"/>
    </row>
    <row r="55" ht="22" customHeight="1">
      <c r="B55" s="16">
        <f>IF(C55="","AUD-"&amp;TEXT(COUNTA($C$5:C55),"000"))</f>
        <v/>
      </c>
      <c r="C55" s="11" t="n"/>
      <c r="D55" s="11" t="n"/>
      <c r="E55" s="28" t="n"/>
      <c r="F55" s="11" t="n"/>
      <c r="G55" s="22" t="n"/>
      <c r="H55" s="22" t="n"/>
      <c r="I55" s="11" t="n"/>
      <c r="J55" s="28" t="n"/>
      <c r="K55" s="11" t="n"/>
      <c r="L55" s="11" t="n"/>
    </row>
    <row r="56" ht="22" customHeight="1">
      <c r="B56" s="15">
        <f>IF(C56="","AUD-"&amp;TEXT(COUNTA($C$5:C56),"000"))</f>
        <v/>
      </c>
      <c r="C56" s="13" t="n"/>
      <c r="D56" s="13" t="n"/>
      <c r="E56" s="29" t="n"/>
      <c r="F56" s="13" t="n"/>
      <c r="G56" s="23" t="n"/>
      <c r="H56" s="23" t="n"/>
      <c r="I56" s="13" t="n"/>
      <c r="J56" s="29" t="n"/>
      <c r="K56" s="13" t="n"/>
      <c r="L56" s="13" t="n"/>
    </row>
    <row r="57" ht="22" customHeight="1">
      <c r="B57" s="16">
        <f>IF(C57="","AUD-"&amp;TEXT(COUNTA($C$5:C57),"000"))</f>
        <v/>
      </c>
      <c r="C57" s="11" t="n"/>
      <c r="D57" s="11" t="n"/>
      <c r="E57" s="28" t="n"/>
      <c r="F57" s="11" t="n"/>
      <c r="G57" s="22" t="n"/>
      <c r="H57" s="22" t="n"/>
      <c r="I57" s="11" t="n"/>
      <c r="J57" s="28" t="n"/>
      <c r="K57" s="11" t="n"/>
      <c r="L57" s="11" t="n"/>
    </row>
    <row r="58" ht="22" customHeight="1">
      <c r="B58" s="15">
        <f>IF(C58="","AUD-"&amp;TEXT(COUNTA($C$5:C58),"000"))</f>
        <v/>
      </c>
      <c r="C58" s="13" t="n"/>
      <c r="D58" s="13" t="n"/>
      <c r="E58" s="29" t="n"/>
      <c r="F58" s="13" t="n"/>
      <c r="G58" s="23" t="n"/>
      <c r="H58" s="23" t="n"/>
      <c r="I58" s="13" t="n"/>
      <c r="J58" s="29" t="n"/>
      <c r="K58" s="13" t="n"/>
      <c r="L58" s="13" t="n"/>
    </row>
    <row r="59" ht="22" customHeight="1">
      <c r="B59" s="16">
        <f>IF(C59="","AUD-"&amp;TEXT(COUNTA($C$5:C59),"000"))</f>
        <v/>
      </c>
      <c r="C59" s="11" t="n"/>
      <c r="D59" s="11" t="n"/>
      <c r="E59" s="28" t="n"/>
      <c r="F59" s="11" t="n"/>
      <c r="G59" s="22" t="n"/>
      <c r="H59" s="22" t="n"/>
      <c r="I59" s="11" t="n"/>
      <c r="J59" s="28" t="n"/>
      <c r="K59" s="11" t="n"/>
      <c r="L59" s="11" t="n"/>
    </row>
    <row r="60" ht="22" customHeight="1">
      <c r="B60" s="15">
        <f>IF(C60="","AUD-"&amp;TEXT(COUNTA($C$5:C60),"000"))</f>
        <v/>
      </c>
      <c r="C60" s="13" t="n"/>
      <c r="D60" s="13" t="n"/>
      <c r="E60" s="29" t="n"/>
      <c r="F60" s="13" t="n"/>
      <c r="G60" s="23" t="n"/>
      <c r="H60" s="23" t="n"/>
      <c r="I60" s="13" t="n"/>
      <c r="J60" s="29" t="n"/>
      <c r="K60" s="13" t="n"/>
      <c r="L60" s="13" t="n"/>
    </row>
    <row r="61" ht="22" customHeight="1">
      <c r="B61" s="16">
        <f>IF(C61="","AUD-"&amp;TEXT(COUNTA($C$5:C61),"000"))</f>
        <v/>
      </c>
      <c r="C61" s="11" t="n"/>
      <c r="D61" s="11" t="n"/>
      <c r="E61" s="28" t="n"/>
      <c r="F61" s="11" t="n"/>
      <c r="G61" s="22" t="n"/>
      <c r="H61" s="22" t="n"/>
      <c r="I61" s="11" t="n"/>
      <c r="J61" s="28" t="n"/>
      <c r="K61" s="11" t="n"/>
      <c r="L61" s="11" t="n"/>
    </row>
    <row r="62" ht="22" customHeight="1">
      <c r="B62" s="15">
        <f>IF(C62="","AUD-"&amp;TEXT(COUNTA($C$5:C62),"000"))</f>
        <v/>
      </c>
      <c r="C62" s="13" t="n"/>
      <c r="D62" s="13" t="n"/>
      <c r="E62" s="29" t="n"/>
      <c r="F62" s="13" t="n"/>
      <c r="G62" s="23" t="n"/>
      <c r="H62" s="23" t="n"/>
      <c r="I62" s="13" t="n"/>
      <c r="J62" s="29" t="n"/>
      <c r="K62" s="13" t="n"/>
      <c r="L62" s="13" t="n"/>
    </row>
    <row r="63" ht="22" customHeight="1">
      <c r="B63" s="16">
        <f>IF(C63="","AUD-"&amp;TEXT(COUNTA($C$5:C63),"000"))</f>
        <v/>
      </c>
      <c r="C63" s="11" t="n"/>
      <c r="D63" s="11" t="n"/>
      <c r="E63" s="28" t="n"/>
      <c r="F63" s="11" t="n"/>
      <c r="G63" s="22" t="n"/>
      <c r="H63" s="22" t="n"/>
      <c r="I63" s="11" t="n"/>
      <c r="J63" s="28" t="n"/>
      <c r="K63" s="11" t="n"/>
      <c r="L63" s="11" t="n"/>
    </row>
    <row r="64" ht="22" customHeight="1">
      <c r="B64" s="15">
        <f>IF(C64="","AUD-"&amp;TEXT(COUNTA($C$5:C64),"000"))</f>
        <v/>
      </c>
      <c r="C64" s="13" t="n"/>
      <c r="D64" s="13" t="n"/>
      <c r="E64" s="29" t="n"/>
      <c r="F64" s="13" t="n"/>
      <c r="G64" s="23" t="n"/>
      <c r="H64" s="23" t="n"/>
      <c r="I64" s="13" t="n"/>
      <c r="J64" s="29" t="n"/>
      <c r="K64" s="13" t="n"/>
      <c r="L64" s="13" t="n"/>
    </row>
    <row r="65" ht="22" customHeight="1">
      <c r="B65" s="16">
        <f>IF(C65="","AUD-"&amp;TEXT(COUNTA($C$5:C65),"000"))</f>
        <v/>
      </c>
      <c r="C65" s="11" t="n"/>
      <c r="D65" s="11" t="n"/>
      <c r="E65" s="28" t="n"/>
      <c r="F65" s="11" t="n"/>
      <c r="G65" s="22" t="n"/>
      <c r="H65" s="22" t="n"/>
      <c r="I65" s="11" t="n"/>
      <c r="J65" s="28" t="n"/>
      <c r="K65" s="11" t="n"/>
      <c r="L65" s="11" t="n"/>
    </row>
    <row r="66" ht="22" customHeight="1">
      <c r="B66" s="15">
        <f>IF(C66="","AUD-"&amp;TEXT(COUNTA($C$5:C66),"000"))</f>
        <v/>
      </c>
      <c r="C66" s="13" t="n"/>
      <c r="D66" s="13" t="n"/>
      <c r="E66" s="29" t="n"/>
      <c r="F66" s="13" t="n"/>
      <c r="G66" s="23" t="n"/>
      <c r="H66" s="23" t="n"/>
      <c r="I66" s="13" t="n"/>
      <c r="J66" s="29" t="n"/>
      <c r="K66" s="13" t="n"/>
      <c r="L66" s="13" t="n"/>
    </row>
    <row r="67" ht="22" customHeight="1">
      <c r="B67" s="16">
        <f>IF(C67="","AUD-"&amp;TEXT(COUNTA($C$5:C67),"000"))</f>
        <v/>
      </c>
      <c r="C67" s="11" t="n"/>
      <c r="D67" s="11" t="n"/>
      <c r="E67" s="28" t="n"/>
      <c r="F67" s="11" t="n"/>
      <c r="G67" s="22" t="n"/>
      <c r="H67" s="22" t="n"/>
      <c r="I67" s="11" t="n"/>
      <c r="J67" s="28" t="n"/>
      <c r="K67" s="11" t="n"/>
      <c r="L67" s="11" t="n"/>
    </row>
    <row r="68" ht="22" customHeight="1">
      <c r="B68" s="15">
        <f>IF(C68="","AUD-"&amp;TEXT(COUNTA($C$5:C68),"000"))</f>
        <v/>
      </c>
      <c r="C68" s="13" t="n"/>
      <c r="D68" s="13" t="n"/>
      <c r="E68" s="29" t="n"/>
      <c r="F68" s="13" t="n"/>
      <c r="G68" s="23" t="n"/>
      <c r="H68" s="23" t="n"/>
      <c r="I68" s="13" t="n"/>
      <c r="J68" s="29" t="n"/>
      <c r="K68" s="13" t="n"/>
      <c r="L68" s="13" t="n"/>
    </row>
    <row r="69" ht="22" customHeight="1">
      <c r="B69" s="16">
        <f>IF(C69="","AUD-"&amp;TEXT(COUNTA($C$5:C69),"000"))</f>
        <v/>
      </c>
      <c r="C69" s="11" t="n"/>
      <c r="D69" s="11" t="n"/>
      <c r="E69" s="28" t="n"/>
      <c r="F69" s="11" t="n"/>
      <c r="G69" s="22" t="n"/>
      <c r="H69" s="22" t="n"/>
      <c r="I69" s="11" t="n"/>
      <c r="J69" s="28" t="n"/>
      <c r="K69" s="11" t="n"/>
      <c r="L69" s="11" t="n"/>
    </row>
    <row r="70" ht="22" customHeight="1">
      <c r="B70" s="15">
        <f>IF(C70="","AUD-"&amp;TEXT(COUNTA($C$5:C70),"000"))</f>
        <v/>
      </c>
      <c r="C70" s="13" t="n"/>
      <c r="D70" s="13" t="n"/>
      <c r="E70" s="29" t="n"/>
      <c r="F70" s="13" t="n"/>
      <c r="G70" s="23" t="n"/>
      <c r="H70" s="23" t="n"/>
      <c r="I70" s="13" t="n"/>
      <c r="J70" s="29" t="n"/>
      <c r="K70" s="13" t="n"/>
      <c r="L70" s="13" t="n"/>
    </row>
    <row r="71" ht="22" customHeight="1">
      <c r="B71" s="16">
        <f>IF(C71="","AUD-"&amp;TEXT(COUNTA($C$5:C71),"000"))</f>
        <v/>
      </c>
      <c r="C71" s="11" t="n"/>
      <c r="D71" s="11" t="n"/>
      <c r="E71" s="28" t="n"/>
      <c r="F71" s="11" t="n"/>
      <c r="G71" s="22" t="n"/>
      <c r="H71" s="22" t="n"/>
      <c r="I71" s="11" t="n"/>
      <c r="J71" s="28" t="n"/>
      <c r="K71" s="11" t="n"/>
      <c r="L71" s="11" t="n"/>
    </row>
    <row r="72" ht="22" customHeight="1">
      <c r="B72" s="15">
        <f>IF(C72="","AUD-"&amp;TEXT(COUNTA($C$5:C72),"000"))</f>
        <v/>
      </c>
      <c r="C72" s="13" t="n"/>
      <c r="D72" s="13" t="n"/>
      <c r="E72" s="29" t="n"/>
      <c r="F72" s="13" t="n"/>
      <c r="G72" s="23" t="n"/>
      <c r="H72" s="23" t="n"/>
      <c r="I72" s="13" t="n"/>
      <c r="J72" s="29" t="n"/>
      <c r="K72" s="13" t="n"/>
      <c r="L72" s="13" t="n"/>
    </row>
    <row r="73" ht="22" customHeight="1">
      <c r="B73" s="16">
        <f>IF(C73="","AUD-"&amp;TEXT(COUNTA($C$5:C73),"000"))</f>
        <v/>
      </c>
      <c r="C73" s="11" t="n"/>
      <c r="D73" s="11" t="n"/>
      <c r="E73" s="28" t="n"/>
      <c r="F73" s="11" t="n"/>
      <c r="G73" s="22" t="n"/>
      <c r="H73" s="22" t="n"/>
      <c r="I73" s="11" t="n"/>
      <c r="J73" s="28" t="n"/>
      <c r="K73" s="11" t="n"/>
      <c r="L73" s="11" t="n"/>
    </row>
    <row r="74" ht="22" customHeight="1">
      <c r="B74" s="15">
        <f>IF(C74="","AUD-"&amp;TEXT(COUNTA($C$5:C74),"000"))</f>
        <v/>
      </c>
      <c r="C74" s="13" t="n"/>
      <c r="D74" s="13" t="n"/>
      <c r="E74" s="29" t="n"/>
      <c r="F74" s="13" t="n"/>
      <c r="G74" s="23" t="n"/>
      <c r="H74" s="23" t="n"/>
      <c r="I74" s="13" t="n"/>
      <c r="J74" s="29" t="n"/>
      <c r="K74" s="13" t="n"/>
      <c r="L74" s="13" t="n"/>
    </row>
    <row r="75" ht="22" customHeight="1">
      <c r="B75" s="16">
        <f>IF(C75="","AUD-"&amp;TEXT(COUNTA($C$5:C75),"000"))</f>
        <v/>
      </c>
      <c r="C75" s="11" t="n"/>
      <c r="D75" s="11" t="n"/>
      <c r="E75" s="28" t="n"/>
      <c r="F75" s="11" t="n"/>
      <c r="G75" s="22" t="n"/>
      <c r="H75" s="22" t="n"/>
      <c r="I75" s="11" t="n"/>
      <c r="J75" s="28" t="n"/>
      <c r="K75" s="11" t="n"/>
      <c r="L75" s="11" t="n"/>
    </row>
    <row r="76" ht="22" customHeight="1">
      <c r="B76" s="15">
        <f>IF(C76="","AUD-"&amp;TEXT(COUNTA($C$5:C76),"000"))</f>
        <v/>
      </c>
      <c r="C76" s="13" t="n"/>
      <c r="D76" s="13" t="n"/>
      <c r="E76" s="29" t="n"/>
      <c r="F76" s="13" t="n"/>
      <c r="G76" s="23" t="n"/>
      <c r="H76" s="23" t="n"/>
      <c r="I76" s="13" t="n"/>
      <c r="J76" s="29" t="n"/>
      <c r="K76" s="13" t="n"/>
      <c r="L76" s="13" t="n"/>
    </row>
    <row r="77" ht="22" customHeight="1">
      <c r="B77" s="16">
        <f>IF(C77="","AUD-"&amp;TEXT(COUNTA($C$5:C77),"000"))</f>
        <v/>
      </c>
      <c r="C77" s="11" t="n"/>
      <c r="D77" s="11" t="n"/>
      <c r="E77" s="28" t="n"/>
      <c r="F77" s="11" t="n"/>
      <c r="G77" s="22" t="n"/>
      <c r="H77" s="22" t="n"/>
      <c r="I77" s="11" t="n"/>
      <c r="J77" s="28" t="n"/>
      <c r="K77" s="11" t="n"/>
      <c r="L77" s="11" t="n"/>
    </row>
    <row r="78" ht="22" customHeight="1">
      <c r="B78" s="15">
        <f>IF(C78="","AUD-"&amp;TEXT(COUNTA($C$5:C78),"000"))</f>
        <v/>
      </c>
      <c r="C78" s="13" t="n"/>
      <c r="D78" s="13" t="n"/>
      <c r="E78" s="29" t="n"/>
      <c r="F78" s="13" t="n"/>
      <c r="G78" s="23" t="n"/>
      <c r="H78" s="23" t="n"/>
      <c r="I78" s="13" t="n"/>
      <c r="J78" s="29" t="n"/>
      <c r="K78" s="13" t="n"/>
      <c r="L78" s="13" t="n"/>
    </row>
    <row r="79" ht="22" customHeight="1">
      <c r="B79" s="16">
        <f>IF(C79="","AUD-"&amp;TEXT(COUNTA($C$5:C79),"000"))</f>
        <v/>
      </c>
      <c r="C79" s="11" t="n"/>
      <c r="D79" s="11" t="n"/>
      <c r="E79" s="28" t="n"/>
      <c r="F79" s="11" t="n"/>
      <c r="G79" s="22" t="n"/>
      <c r="H79" s="22" t="n"/>
      <c r="I79" s="11" t="n"/>
      <c r="J79" s="28" t="n"/>
      <c r="K79" s="11" t="n"/>
      <c r="L79" s="11" t="n"/>
    </row>
    <row r="80" ht="22" customHeight="1">
      <c r="B80" s="15">
        <f>IF(C80="","AUD-"&amp;TEXT(COUNTA($C$5:C80),"000"))</f>
        <v/>
      </c>
      <c r="C80" s="13" t="n"/>
      <c r="D80" s="13" t="n"/>
      <c r="E80" s="29" t="n"/>
      <c r="F80" s="13" t="n"/>
      <c r="G80" s="23" t="n"/>
      <c r="H80" s="23" t="n"/>
      <c r="I80" s="13" t="n"/>
      <c r="J80" s="29" t="n"/>
      <c r="K80" s="13" t="n"/>
      <c r="L80" s="13" t="n"/>
    </row>
    <row r="81" ht="22" customHeight="1">
      <c r="B81" s="16">
        <f>IF(C81="","AUD-"&amp;TEXT(COUNTA($C$5:C81),"000"))</f>
        <v/>
      </c>
      <c r="C81" s="11" t="n"/>
      <c r="D81" s="11" t="n"/>
      <c r="E81" s="28" t="n"/>
      <c r="F81" s="11" t="n"/>
      <c r="G81" s="22" t="n"/>
      <c r="H81" s="22" t="n"/>
      <c r="I81" s="11" t="n"/>
      <c r="J81" s="28" t="n"/>
      <c r="K81" s="11" t="n"/>
      <c r="L81" s="11" t="n"/>
    </row>
    <row r="82" ht="22" customHeight="1">
      <c r="B82" s="15">
        <f>IF(C82="","AUD-"&amp;TEXT(COUNTA($C$5:C82),"000"))</f>
        <v/>
      </c>
      <c r="C82" s="13" t="n"/>
      <c r="D82" s="13" t="n"/>
      <c r="E82" s="29" t="n"/>
      <c r="F82" s="13" t="n"/>
      <c r="G82" s="23" t="n"/>
      <c r="H82" s="23" t="n"/>
      <c r="I82" s="13" t="n"/>
      <c r="J82" s="29" t="n"/>
      <c r="K82" s="13" t="n"/>
      <c r="L82" s="13" t="n"/>
    </row>
    <row r="83" ht="22" customHeight="1">
      <c r="B83" s="16">
        <f>IF(C83="","AUD-"&amp;TEXT(COUNTA($C$5:C83),"000"))</f>
        <v/>
      </c>
      <c r="C83" s="11" t="n"/>
      <c r="D83" s="11" t="n"/>
      <c r="E83" s="28" t="n"/>
      <c r="F83" s="11" t="n"/>
      <c r="G83" s="22" t="n"/>
      <c r="H83" s="22" t="n"/>
      <c r="I83" s="11" t="n"/>
      <c r="J83" s="28" t="n"/>
      <c r="K83" s="11" t="n"/>
      <c r="L83" s="11" t="n"/>
    </row>
    <row r="84" ht="22" customHeight="1">
      <c r="B84" s="15">
        <f>IF(C84="","AUD-"&amp;TEXT(COUNTA($C$5:C84),"000"))</f>
        <v/>
      </c>
      <c r="C84" s="13" t="n"/>
      <c r="D84" s="13" t="n"/>
      <c r="E84" s="29" t="n"/>
      <c r="F84" s="13" t="n"/>
      <c r="G84" s="23" t="n"/>
      <c r="H84" s="23" t="n"/>
      <c r="I84" s="13" t="n"/>
      <c r="J84" s="29" t="n"/>
      <c r="K84" s="13" t="n"/>
      <c r="L84" s="13" t="n"/>
    </row>
    <row r="85" ht="22" customHeight="1">
      <c r="B85" s="16">
        <f>IF(C85="","AUD-"&amp;TEXT(COUNTA($C$5:C85),"000"))</f>
        <v/>
      </c>
      <c r="C85" s="11" t="n"/>
      <c r="D85" s="11" t="n"/>
      <c r="E85" s="28" t="n"/>
      <c r="F85" s="11" t="n"/>
      <c r="G85" s="22" t="n"/>
      <c r="H85" s="22" t="n"/>
      <c r="I85" s="11" t="n"/>
      <c r="J85" s="28" t="n"/>
      <c r="K85" s="11" t="n"/>
      <c r="L85" s="11" t="n"/>
    </row>
    <row r="86" ht="22" customHeight="1">
      <c r="B86" s="15">
        <f>IF(C86="","AUD-"&amp;TEXT(COUNTA($C$5:C86),"000"))</f>
        <v/>
      </c>
      <c r="C86" s="13" t="n"/>
      <c r="D86" s="13" t="n"/>
      <c r="E86" s="29" t="n"/>
      <c r="F86" s="13" t="n"/>
      <c r="G86" s="23" t="n"/>
      <c r="H86" s="23" t="n"/>
      <c r="I86" s="13" t="n"/>
      <c r="J86" s="29" t="n"/>
      <c r="K86" s="13" t="n"/>
      <c r="L86" s="13" t="n"/>
    </row>
    <row r="87" ht="22" customHeight="1">
      <c r="B87" s="16">
        <f>IF(C87="","AUD-"&amp;TEXT(COUNTA($C$5:C87),"000"))</f>
        <v/>
      </c>
      <c r="C87" s="11" t="n"/>
      <c r="D87" s="11" t="n"/>
      <c r="E87" s="28" t="n"/>
      <c r="F87" s="11" t="n"/>
      <c r="G87" s="22" t="n"/>
      <c r="H87" s="22" t="n"/>
      <c r="I87" s="11" t="n"/>
      <c r="J87" s="28" t="n"/>
      <c r="K87" s="11" t="n"/>
      <c r="L87" s="11" t="n"/>
    </row>
    <row r="88" ht="22" customHeight="1">
      <c r="B88" s="15">
        <f>IF(C88="","AUD-"&amp;TEXT(COUNTA($C$5:C88),"000"))</f>
        <v/>
      </c>
      <c r="C88" s="13" t="n"/>
      <c r="D88" s="13" t="n"/>
      <c r="E88" s="29" t="n"/>
      <c r="F88" s="13" t="n"/>
      <c r="G88" s="23" t="n"/>
      <c r="H88" s="23" t="n"/>
      <c r="I88" s="13" t="n"/>
      <c r="J88" s="29" t="n"/>
      <c r="K88" s="13" t="n"/>
      <c r="L88" s="13" t="n"/>
    </row>
    <row r="89" ht="22" customHeight="1">
      <c r="B89" s="16">
        <f>IF(C89="","AUD-"&amp;TEXT(COUNTA($C$5:C89),"000"))</f>
        <v/>
      </c>
      <c r="C89" s="11" t="n"/>
      <c r="D89" s="11" t="n"/>
      <c r="E89" s="28" t="n"/>
      <c r="F89" s="11" t="n"/>
      <c r="G89" s="22" t="n"/>
      <c r="H89" s="22" t="n"/>
      <c r="I89" s="11" t="n"/>
      <c r="J89" s="28" t="n"/>
      <c r="K89" s="11" t="n"/>
      <c r="L89" s="11" t="n"/>
    </row>
    <row r="90" ht="22" customHeight="1">
      <c r="B90" s="15">
        <f>IF(C90="","AUD-"&amp;TEXT(COUNTA($C$5:C90),"000"))</f>
        <v/>
      </c>
      <c r="C90" s="13" t="n"/>
      <c r="D90" s="13" t="n"/>
      <c r="E90" s="29" t="n"/>
      <c r="F90" s="13" t="n"/>
      <c r="G90" s="23" t="n"/>
      <c r="H90" s="23" t="n"/>
      <c r="I90" s="13" t="n"/>
      <c r="J90" s="29" t="n"/>
      <c r="K90" s="13" t="n"/>
      <c r="L90" s="13" t="n"/>
    </row>
    <row r="91" ht="22" customHeight="1">
      <c r="B91" s="16">
        <f>IF(C91="","AUD-"&amp;TEXT(COUNTA($C$5:C91),"000"))</f>
        <v/>
      </c>
      <c r="C91" s="11" t="n"/>
      <c r="D91" s="11" t="n"/>
      <c r="E91" s="28" t="n"/>
      <c r="F91" s="11" t="n"/>
      <c r="G91" s="22" t="n"/>
      <c r="H91" s="22" t="n"/>
      <c r="I91" s="11" t="n"/>
      <c r="J91" s="28" t="n"/>
      <c r="K91" s="11" t="n"/>
      <c r="L91" s="11" t="n"/>
    </row>
    <row r="92" ht="22" customHeight="1">
      <c r="B92" s="15">
        <f>IF(C92="","AUD-"&amp;TEXT(COUNTA($C$5:C92),"000"))</f>
        <v/>
      </c>
      <c r="C92" s="13" t="n"/>
      <c r="D92" s="13" t="n"/>
      <c r="E92" s="29" t="n"/>
      <c r="F92" s="13" t="n"/>
      <c r="G92" s="23" t="n"/>
      <c r="H92" s="23" t="n"/>
      <c r="I92" s="13" t="n"/>
      <c r="J92" s="29" t="n"/>
      <c r="K92" s="13" t="n"/>
      <c r="L92" s="13" t="n"/>
    </row>
    <row r="93" ht="22" customHeight="1">
      <c r="B93" s="16">
        <f>IF(C93="","AUD-"&amp;TEXT(COUNTA($C$5:C93),"000"))</f>
        <v/>
      </c>
      <c r="C93" s="11" t="n"/>
      <c r="D93" s="11" t="n"/>
      <c r="E93" s="28" t="n"/>
      <c r="F93" s="11" t="n"/>
      <c r="G93" s="22" t="n"/>
      <c r="H93" s="22" t="n"/>
      <c r="I93" s="11" t="n"/>
      <c r="J93" s="28" t="n"/>
      <c r="K93" s="11" t="n"/>
      <c r="L93" s="11" t="n"/>
    </row>
    <row r="94" ht="22" customHeight="1">
      <c r="B94" s="15">
        <f>IF(C94="","AUD-"&amp;TEXT(COUNTA($C$5:C94),"000"))</f>
        <v/>
      </c>
      <c r="C94" s="13" t="n"/>
      <c r="D94" s="13" t="n"/>
      <c r="E94" s="29" t="n"/>
      <c r="F94" s="13" t="n"/>
      <c r="G94" s="23" t="n"/>
      <c r="H94" s="23" t="n"/>
      <c r="I94" s="13" t="n"/>
      <c r="J94" s="29" t="n"/>
      <c r="K94" s="13" t="n"/>
      <c r="L94" s="13" t="n"/>
    </row>
    <row r="95" ht="22" customHeight="1">
      <c r="B95" s="16">
        <f>IF(C95="","AUD-"&amp;TEXT(COUNTA($C$5:C95),"000"))</f>
        <v/>
      </c>
      <c r="C95" s="11" t="n"/>
      <c r="D95" s="11" t="n"/>
      <c r="E95" s="28" t="n"/>
      <c r="F95" s="11" t="n"/>
      <c r="G95" s="22" t="n"/>
      <c r="H95" s="22" t="n"/>
      <c r="I95" s="11" t="n"/>
      <c r="J95" s="28" t="n"/>
      <c r="K95" s="11" t="n"/>
      <c r="L95" s="11" t="n"/>
    </row>
    <row r="96" ht="22" customHeight="1">
      <c r="B96" s="15">
        <f>IF(C96="","AUD-"&amp;TEXT(COUNTA($C$5:C96),"000"))</f>
        <v/>
      </c>
      <c r="C96" s="13" t="n"/>
      <c r="D96" s="13" t="n"/>
      <c r="E96" s="29" t="n"/>
      <c r="F96" s="13" t="n"/>
      <c r="G96" s="23" t="n"/>
      <c r="H96" s="23" t="n"/>
      <c r="I96" s="13" t="n"/>
      <c r="J96" s="29" t="n"/>
      <c r="K96" s="13" t="n"/>
      <c r="L96" s="13" t="n"/>
    </row>
    <row r="97" ht="22" customHeight="1">
      <c r="B97" s="16">
        <f>IF(C97="","AUD-"&amp;TEXT(COUNTA($C$5:C97),"000"))</f>
        <v/>
      </c>
      <c r="C97" s="11" t="n"/>
      <c r="D97" s="11" t="n"/>
      <c r="E97" s="28" t="n"/>
      <c r="F97" s="11" t="n"/>
      <c r="G97" s="22" t="n"/>
      <c r="H97" s="22" t="n"/>
      <c r="I97" s="11" t="n"/>
      <c r="J97" s="28" t="n"/>
      <c r="K97" s="11" t="n"/>
      <c r="L97" s="11" t="n"/>
    </row>
    <row r="98" ht="22" customHeight="1">
      <c r="B98" s="15">
        <f>IF(C98="","AUD-"&amp;TEXT(COUNTA($C$5:C98),"000"))</f>
        <v/>
      </c>
      <c r="C98" s="13" t="n"/>
      <c r="D98" s="13" t="n"/>
      <c r="E98" s="29" t="n"/>
      <c r="F98" s="13" t="n"/>
      <c r="G98" s="23" t="n"/>
      <c r="H98" s="23" t="n"/>
      <c r="I98" s="13" t="n"/>
      <c r="J98" s="29" t="n"/>
      <c r="K98" s="13" t="n"/>
      <c r="L98" s="13" t="n"/>
    </row>
    <row r="99" ht="22" customHeight="1">
      <c r="B99" s="16">
        <f>IF(C99="","AUD-"&amp;TEXT(COUNTA($C$5:C99),"000"))</f>
        <v/>
      </c>
      <c r="C99" s="11" t="n"/>
      <c r="D99" s="11" t="n"/>
      <c r="E99" s="28" t="n"/>
      <c r="F99" s="11" t="n"/>
      <c r="G99" s="22" t="n"/>
      <c r="H99" s="22" t="n"/>
      <c r="I99" s="11" t="n"/>
      <c r="J99" s="28" t="n"/>
      <c r="K99" s="11" t="n"/>
      <c r="L99" s="11" t="n"/>
    </row>
    <row r="100" ht="22" customHeight="1">
      <c r="B100" s="15">
        <f>IF(C100="","AUD-"&amp;TEXT(COUNTA($C$5:C100),"000"))</f>
        <v/>
      </c>
      <c r="C100" s="13" t="n"/>
      <c r="D100" s="13" t="n"/>
      <c r="E100" s="29" t="n"/>
      <c r="F100" s="13" t="n"/>
      <c r="G100" s="23" t="n"/>
      <c r="H100" s="23" t="n"/>
      <c r="I100" s="13" t="n"/>
      <c r="J100" s="29" t="n"/>
      <c r="K100" s="13" t="n"/>
      <c r="L100" s="13" t="n"/>
    </row>
    <row r="101" ht="22" customHeight="1">
      <c r="B101" s="16">
        <f>IF(C101="","AUD-"&amp;TEXT(COUNTA($C$5:C101),"000"))</f>
        <v/>
      </c>
      <c r="C101" s="11" t="n"/>
      <c r="D101" s="11" t="n"/>
      <c r="E101" s="28" t="n"/>
      <c r="F101" s="11" t="n"/>
      <c r="G101" s="22" t="n"/>
      <c r="H101" s="22" t="n"/>
      <c r="I101" s="11" t="n"/>
      <c r="J101" s="28" t="n"/>
      <c r="K101" s="11" t="n"/>
      <c r="L101" s="11" t="n"/>
    </row>
    <row r="102" ht="22" customHeight="1">
      <c r="B102" s="15">
        <f>IF(C102="","AUD-"&amp;TEXT(COUNTA($C$5:C102),"000"))</f>
        <v/>
      </c>
      <c r="C102" s="13" t="n"/>
      <c r="D102" s="13" t="n"/>
      <c r="E102" s="29" t="n"/>
      <c r="F102" s="13" t="n"/>
      <c r="G102" s="23" t="n"/>
      <c r="H102" s="23" t="n"/>
      <c r="I102" s="13" t="n"/>
      <c r="J102" s="29" t="n"/>
      <c r="K102" s="13" t="n"/>
      <c r="L102" s="13" t="n"/>
    </row>
    <row r="103" ht="22" customHeight="1">
      <c r="B103" s="16">
        <f>IF(C103="","AUD-"&amp;TEXT(COUNTA($C$5:C103),"000"))</f>
        <v/>
      </c>
      <c r="C103" s="11" t="n"/>
      <c r="D103" s="11" t="n"/>
      <c r="E103" s="28" t="n"/>
      <c r="F103" s="11" t="n"/>
      <c r="G103" s="22" t="n"/>
      <c r="H103" s="22" t="n"/>
      <c r="I103" s="11" t="n"/>
      <c r="J103" s="28" t="n"/>
      <c r="K103" s="11" t="n"/>
      <c r="L103" s="11" t="n"/>
    </row>
    <row r="104" ht="22" customHeight="1">
      <c r="B104" s="15">
        <f>IF(C104="","AUD-"&amp;TEXT(COUNTA($C$5:C104),"000"))</f>
        <v/>
      </c>
      <c r="C104" s="13" t="n"/>
      <c r="D104" s="13" t="n"/>
      <c r="E104" s="29" t="n"/>
      <c r="F104" s="13" t="n"/>
      <c r="G104" s="23" t="n"/>
      <c r="H104" s="23" t="n"/>
      <c r="I104" s="13" t="n"/>
      <c r="J104" s="29" t="n"/>
      <c r="K104" s="13" t="n"/>
      <c r="L104" s="13" t="n"/>
    </row>
    <row r="105" ht="22" customHeight="1">
      <c r="B105" s="16">
        <f>IF(C105="","AUD-"&amp;TEXT(COUNTA($C$5:C105),"000"))</f>
        <v/>
      </c>
      <c r="C105" s="11" t="n"/>
      <c r="D105" s="11" t="n"/>
      <c r="E105" s="28" t="n"/>
      <c r="F105" s="11" t="n"/>
      <c r="G105" s="22" t="n"/>
      <c r="H105" s="22" t="n"/>
      <c r="I105" s="11" t="n"/>
      <c r="J105" s="28" t="n"/>
      <c r="K105" s="11" t="n"/>
      <c r="L105" s="11" t="n"/>
    </row>
    <row r="106" ht="22" customHeight="1">
      <c r="B106" s="15">
        <f>IF(C106="","AUD-"&amp;TEXT(COUNTA($C$5:C106),"000"))</f>
        <v/>
      </c>
      <c r="C106" s="13" t="n"/>
      <c r="D106" s="13" t="n"/>
      <c r="E106" s="29" t="n"/>
      <c r="F106" s="13" t="n"/>
      <c r="G106" s="23" t="n"/>
      <c r="H106" s="23" t="n"/>
      <c r="I106" s="13" t="n"/>
      <c r="J106" s="29" t="n"/>
      <c r="K106" s="13" t="n"/>
      <c r="L106" s="13" t="n"/>
    </row>
    <row r="107" ht="22" customHeight="1">
      <c r="B107" s="16">
        <f>IF(C107="","AUD-"&amp;TEXT(COUNTA($C$5:C107),"000"))</f>
        <v/>
      </c>
      <c r="C107" s="11" t="n"/>
      <c r="D107" s="11" t="n"/>
      <c r="E107" s="28" t="n"/>
      <c r="F107" s="11" t="n"/>
      <c r="G107" s="22" t="n"/>
      <c r="H107" s="22" t="n"/>
      <c r="I107" s="11" t="n"/>
      <c r="J107" s="28" t="n"/>
      <c r="K107" s="11" t="n"/>
      <c r="L107" s="11" t="n"/>
    </row>
    <row r="108" ht="22" customHeight="1">
      <c r="B108" s="15">
        <f>IF(C108="","AUD-"&amp;TEXT(COUNTA($C$5:C108),"000"))</f>
        <v/>
      </c>
      <c r="C108" s="13" t="n"/>
      <c r="D108" s="13" t="n"/>
      <c r="E108" s="29" t="n"/>
      <c r="F108" s="13" t="n"/>
      <c r="G108" s="23" t="n"/>
      <c r="H108" s="23" t="n"/>
      <c r="I108" s="13" t="n"/>
      <c r="J108" s="29" t="n"/>
      <c r="K108" s="13" t="n"/>
      <c r="L108" s="13" t="n"/>
    </row>
    <row r="109"/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1">
        <f>SUM(G5:G104)</f>
        <v/>
      </c>
      <c r="H110" s="21">
        <f>SUM(H5:H104)</f>
        <v/>
      </c>
      <c r="I110" s="20" t="n"/>
      <c r="J110" s="20" t="n"/>
      <c r="K110" s="20" t="n"/>
      <c r="L110" s="20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Audits realises</t>
        </is>
      </c>
      <c r="D113" s="3" t="inlineStr">
        <is>
          <t>Total constats</t>
        </is>
      </c>
      <c r="F113" s="3" t="inlineStr">
        <is>
          <t>Constats critiques</t>
        </is>
      </c>
      <c r="H113" s="3" t="inlineStr">
        <is>
          <t>Suivi realise</t>
        </is>
      </c>
    </row>
    <row r="114">
      <c r="B114" s="4">
        <f>COUNTIF(B5:B104,"&lt;&gt;")</f>
        <v/>
      </c>
      <c r="D114" s="4">
        <f>SUM(G5:G104)</f>
        <v/>
      </c>
      <c r="F114" s="4">
        <f>SUM(H5:H104)</f>
        <v/>
      </c>
      <c r="H114" s="4">
        <f>COUNTIF(K5:K104,"Oui")</f>
        <v/>
      </c>
    </row>
  </sheetData>
  <mergeCells count="3">
    <mergeCell ref="B2:L2"/>
    <mergeCell ref="B112:L112"/>
    <mergeCell ref="B3:L3"/>
  </mergeCells>
  <conditionalFormatting sqref="L5:L108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9:B108">
    <cfRule type="expression" priority="150" dxfId="0">
      <formula>AND($C9="",$C8&lt;&gt;"")</formula>
    </cfRule>
  </conditionalFormatting>
  <conditionalFormatting sqref="C9:C108">
    <cfRule type="expression" priority="151" dxfId="0">
      <formula>AND($C9="",$C8&lt;&gt;"")</formula>
    </cfRule>
  </conditionalFormatting>
  <conditionalFormatting sqref="D9:D108">
    <cfRule type="expression" priority="152" dxfId="0">
      <formula>AND($C9="",$C8&lt;&gt;"")</formula>
    </cfRule>
  </conditionalFormatting>
  <conditionalFormatting sqref="E9:E108">
    <cfRule type="expression" priority="153" dxfId="0">
      <formula>AND($C9="",$C8&lt;&gt;"")</formula>
    </cfRule>
  </conditionalFormatting>
  <conditionalFormatting sqref="F9:F108">
    <cfRule type="expression" priority="154" dxfId="0">
      <formula>AND($C9="",$C8&lt;&gt;"")</formula>
    </cfRule>
  </conditionalFormatting>
  <conditionalFormatting sqref="G9:G108">
    <cfRule type="expression" priority="155" dxfId="0">
      <formula>AND($C9="",$C8&lt;&gt;"")</formula>
    </cfRule>
  </conditionalFormatting>
  <conditionalFormatting sqref="H9:H108">
    <cfRule type="expression" priority="156" dxfId="0">
      <formula>AND($C9="",$C8&lt;&gt;"")</formula>
    </cfRule>
  </conditionalFormatting>
  <conditionalFormatting sqref="I9:I108">
    <cfRule type="expression" priority="157" dxfId="0">
      <formula>AND($C9="",$C8&lt;&gt;"")</formula>
    </cfRule>
  </conditionalFormatting>
  <conditionalFormatting sqref="J9:J108">
    <cfRule type="expression" priority="158" dxfId="0">
      <formula>AND($C9="",$C8&lt;&gt;"")</formula>
    </cfRule>
  </conditionalFormatting>
  <conditionalFormatting sqref="K9:K108">
    <cfRule type="expression" priority="159" dxfId="0">
      <formula>AND($C9="",$C8&lt;&gt;"")</formula>
    </cfRule>
  </conditionalFormatting>
  <conditionalFormatting sqref="L9:L108">
    <cfRule type="expression" priority="160" dxfId="0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8" showDropDown="0" showInputMessage="0" showErrorMessage="0" allowBlank="1" errorTitle="Erreur" error="Valeur invalide" promptTitle="Liste" prompt="Choisir dans la liste" type="list">
      <formula1>'_Lists'!$X$2:$X$5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16" customWidth="1" min="5" max="5"/>
    <col width="16" customWidth="1" min="6" max="6"/>
    <col width="24" customWidth="1" min="7" max="7"/>
    <col width="22" customWidth="1" min="8" max="8"/>
    <col width="16" customWidth="1" min="9" max="9"/>
    <col width="16" customWidth="1" min="10" max="10"/>
  </cols>
  <sheetData>
    <row r="1" ht="15" customHeight="1"/>
    <row r="2" ht="32" customHeight="1">
      <c r="B2" s="1" t="inlineStr">
        <is>
          <t>SUIVI MENSUEL DES ACCIDENTS DU TRAVAIL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Mois</t>
        </is>
      </c>
      <c r="D4" s="10" t="inlineStr">
        <is>
          <t>Annee</t>
        </is>
      </c>
      <c r="E4" s="10" t="inlineStr">
        <is>
          <t>Nb Accidents</t>
        </is>
      </c>
      <c r="F4" s="10" t="inlineStr">
        <is>
          <t>Nb Jours Arret</t>
        </is>
      </c>
      <c r="G4" s="10" t="inlineStr">
        <is>
          <t>Cout Indemnisation (FCFA)</t>
        </is>
      </c>
      <c r="H4" s="10" t="inlineStr">
        <is>
          <t>Nb Presqu-Accidents</t>
        </is>
      </c>
      <c r="I4" s="10" t="inlineStr">
        <is>
          <t>Taux Frequence</t>
        </is>
      </c>
      <c r="J4" s="10" t="inlineStr">
        <is>
          <t>Taux Gravite</t>
        </is>
      </c>
    </row>
    <row r="5" ht="22" customHeight="1">
      <c r="B5" s="11" t="inlineStr">
        <is>
          <t>SAM-001</t>
        </is>
      </c>
      <c r="C5" s="11" t="inlineStr">
        <is>
          <t>Janvier</t>
        </is>
      </c>
      <c r="D5" s="11" t="inlineStr">
        <is>
          <t>2025</t>
        </is>
      </c>
      <c r="E5" s="22" t="n">
        <v>1</v>
      </c>
      <c r="F5" s="22" t="n">
        <v>0</v>
      </c>
      <c r="G5" s="17" t="n">
        <v>0</v>
      </c>
      <c r="H5" s="22" t="n">
        <v>2</v>
      </c>
      <c r="I5" s="30" t="n">
        <v>0.8</v>
      </c>
      <c r="J5" s="30" t="n">
        <v>0</v>
      </c>
    </row>
    <row r="6" ht="22" customHeight="1">
      <c r="B6" s="13" t="inlineStr">
        <is>
          <t>SAM-002</t>
        </is>
      </c>
      <c r="C6" s="13" t="inlineStr">
        <is>
          <t>Fevrier</t>
        </is>
      </c>
      <c r="D6" s="13" t="inlineStr">
        <is>
          <t>2025</t>
        </is>
      </c>
      <c r="E6" s="23" t="n">
        <v>1</v>
      </c>
      <c r="F6" s="23" t="n">
        <v>3</v>
      </c>
      <c r="G6" s="18" t="n">
        <v>15000</v>
      </c>
      <c r="H6" s="23" t="n">
        <v>1</v>
      </c>
      <c r="I6" s="31" t="n">
        <v>0.8</v>
      </c>
      <c r="J6" s="31" t="n">
        <v>2.4</v>
      </c>
    </row>
    <row r="7" ht="22" customHeight="1">
      <c r="B7" s="11" t="inlineStr">
        <is>
          <t>SAM-003</t>
        </is>
      </c>
      <c r="C7" s="11" t="inlineStr">
        <is>
          <t>Mars</t>
        </is>
      </c>
      <c r="D7" s="11" t="inlineStr">
        <is>
          <t>2025</t>
        </is>
      </c>
      <c r="E7" s="22" t="n">
        <v>1</v>
      </c>
      <c r="F7" s="22" t="n">
        <v>5</v>
      </c>
      <c r="G7" s="17" t="n">
        <v>25000</v>
      </c>
      <c r="H7" s="22" t="n">
        <v>3</v>
      </c>
      <c r="I7" s="30" t="n">
        <v>0.8</v>
      </c>
      <c r="J7" s="30" t="n">
        <v>4</v>
      </c>
    </row>
    <row r="8" ht="22" customHeight="1">
      <c r="B8" s="13" t="inlineStr">
        <is>
          <t>SAM-004</t>
        </is>
      </c>
      <c r="C8" s="13" t="inlineStr">
        <is>
          <t>Avril</t>
        </is>
      </c>
      <c r="D8" s="13" t="inlineStr">
        <is>
          <t>2025</t>
        </is>
      </c>
      <c r="E8" s="23" t="n">
        <v>1</v>
      </c>
      <c r="F8" s="23" t="n">
        <v>15</v>
      </c>
      <c r="G8" s="18" t="n">
        <v>120000</v>
      </c>
      <c r="H8" s="23" t="n">
        <v>2</v>
      </c>
      <c r="I8" s="31" t="n">
        <v>0.8</v>
      </c>
      <c r="J8" s="31" t="n">
        <v>12</v>
      </c>
    </row>
    <row r="9" ht="22" customHeight="1">
      <c r="B9" s="11" t="inlineStr">
        <is>
          <t>SAM-005</t>
        </is>
      </c>
      <c r="C9" s="11" t="inlineStr">
        <is>
          <t>Mai</t>
        </is>
      </c>
      <c r="D9" s="11" t="inlineStr">
        <is>
          <t>2025</t>
        </is>
      </c>
      <c r="E9" s="22" t="n">
        <v>0</v>
      </c>
      <c r="F9" s="22" t="n">
        <v>0</v>
      </c>
      <c r="G9" s="17" t="n">
        <v>0</v>
      </c>
      <c r="H9" s="22" t="n">
        <v>4</v>
      </c>
      <c r="I9" s="30" t="n">
        <v>0</v>
      </c>
      <c r="J9" s="30" t="n">
        <v>0</v>
      </c>
    </row>
    <row r="10" ht="22" customHeight="1">
      <c r="B10" s="13" t="inlineStr">
        <is>
          <t>SAM-006</t>
        </is>
      </c>
      <c r="C10" s="13" t="inlineStr">
        <is>
          <t>Juin</t>
        </is>
      </c>
      <c r="D10" s="13" t="inlineStr">
        <is>
          <t>2025</t>
        </is>
      </c>
      <c r="E10" s="23" t="n">
        <v>2</v>
      </c>
      <c r="F10" s="23" t="n">
        <v>45</v>
      </c>
      <c r="G10" s="18" t="n">
        <v>350000</v>
      </c>
      <c r="H10" s="23" t="n">
        <v>3</v>
      </c>
      <c r="I10" s="31" t="n">
        <v>1.6</v>
      </c>
      <c r="J10" s="31" t="n">
        <v>36</v>
      </c>
    </row>
    <row r="11" ht="22" customHeight="1">
      <c r="B11" s="16">
        <f>IF(C11="","SAM-"&amp;TEXT(COUNTA($C$5:C11),"000"))</f>
        <v/>
      </c>
      <c r="C11" s="11" t="n"/>
      <c r="D11" s="11" t="n"/>
      <c r="E11" s="22" t="n"/>
      <c r="F11" s="22" t="n"/>
      <c r="G11" s="17" t="n"/>
      <c r="H11" s="22" t="n"/>
      <c r="I11" s="30">
        <f>IF(E11="","",ROUND(E11*1000000/130,1))</f>
        <v/>
      </c>
      <c r="J11" s="30">
        <f>IF(E11="","",ROUND(F11*1000000/130,1))</f>
        <v/>
      </c>
    </row>
    <row r="12" ht="22" customHeight="1">
      <c r="B12" s="15">
        <f>IF(C12="","SAM-"&amp;TEXT(COUNTA($C$5:C12),"000"))</f>
        <v/>
      </c>
      <c r="C12" s="13" t="n"/>
      <c r="D12" s="13" t="n"/>
      <c r="E12" s="23" t="n"/>
      <c r="F12" s="23" t="n"/>
      <c r="G12" s="18" t="n"/>
      <c r="H12" s="23" t="n"/>
      <c r="I12" s="31">
        <f>IF(E12="","",ROUND(E12*1000000/130,1))</f>
        <v/>
      </c>
      <c r="J12" s="31">
        <f>IF(E12="","",ROUND(F12*1000000/130,1))</f>
        <v/>
      </c>
    </row>
    <row r="13" ht="22" customHeight="1">
      <c r="B13" s="16">
        <f>IF(C13="","SAM-"&amp;TEXT(COUNTA($C$5:C13),"000"))</f>
        <v/>
      </c>
      <c r="C13" s="11" t="n"/>
      <c r="D13" s="11" t="n"/>
      <c r="E13" s="22" t="n"/>
      <c r="F13" s="22" t="n"/>
      <c r="G13" s="17" t="n"/>
      <c r="H13" s="22" t="n"/>
      <c r="I13" s="30">
        <f>IF(E13="","",ROUND(E13*1000000/130,1))</f>
        <v/>
      </c>
      <c r="J13" s="30">
        <f>IF(E13="","",ROUND(F13*1000000/130,1))</f>
        <v/>
      </c>
    </row>
    <row r="14" ht="22" customHeight="1">
      <c r="B14" s="15">
        <f>IF(C14="","SAM-"&amp;TEXT(COUNTA($C$5:C14),"000"))</f>
        <v/>
      </c>
      <c r="C14" s="13" t="n"/>
      <c r="D14" s="13" t="n"/>
      <c r="E14" s="23" t="n"/>
      <c r="F14" s="23" t="n"/>
      <c r="G14" s="18" t="n"/>
      <c r="H14" s="23" t="n"/>
      <c r="I14" s="31">
        <f>IF(E14="","",ROUND(E14*1000000/130,1))</f>
        <v/>
      </c>
      <c r="J14" s="31">
        <f>IF(E14="","",ROUND(F14*1000000/130,1))</f>
        <v/>
      </c>
    </row>
    <row r="15" ht="22" customHeight="1">
      <c r="B15" s="16">
        <f>IF(C15="","SAM-"&amp;TEXT(COUNTA($C$5:C15),"000"))</f>
        <v/>
      </c>
      <c r="C15" s="11" t="n"/>
      <c r="D15" s="11" t="n"/>
      <c r="E15" s="22" t="n"/>
      <c r="F15" s="22" t="n"/>
      <c r="G15" s="17" t="n"/>
      <c r="H15" s="22" t="n"/>
      <c r="I15" s="30">
        <f>IF(E15="","",ROUND(E15*1000000/130,1))</f>
        <v/>
      </c>
      <c r="J15" s="30">
        <f>IF(E15="","",ROUND(F15*1000000/130,1))</f>
        <v/>
      </c>
    </row>
    <row r="16" ht="22" customHeight="1">
      <c r="B16" s="15">
        <f>IF(C16="","SAM-"&amp;TEXT(COUNTA($C$5:C16),"000"))</f>
        <v/>
      </c>
      <c r="C16" s="13" t="n"/>
      <c r="D16" s="13" t="n"/>
      <c r="E16" s="23" t="n"/>
      <c r="F16" s="23" t="n"/>
      <c r="G16" s="18" t="n"/>
      <c r="H16" s="23" t="n"/>
      <c r="I16" s="31">
        <f>IF(E16="","",ROUND(E16*1000000/130,1))</f>
        <v/>
      </c>
      <c r="J16" s="31">
        <f>IF(E16="","",ROUND(F16*1000000/130,1))</f>
        <v/>
      </c>
    </row>
    <row r="17" ht="22" customHeight="1">
      <c r="B17" s="16">
        <f>IF(C17="","SAM-"&amp;TEXT(COUNTA($C$5:C17),"000"))</f>
        <v/>
      </c>
      <c r="C17" s="11" t="n"/>
      <c r="D17" s="11" t="n"/>
      <c r="E17" s="22" t="n"/>
      <c r="F17" s="22" t="n"/>
      <c r="G17" s="17" t="n"/>
      <c r="H17" s="22" t="n"/>
      <c r="I17" s="30">
        <f>IF(E17="","",ROUND(E17*1000000/130,1))</f>
        <v/>
      </c>
      <c r="J17" s="30">
        <f>IF(E17="","",ROUND(F17*1000000/130,1))</f>
        <v/>
      </c>
    </row>
    <row r="18" ht="22" customHeight="1">
      <c r="B18" s="15">
        <f>IF(C18="","SAM-"&amp;TEXT(COUNTA($C$5:C18),"000"))</f>
        <v/>
      </c>
      <c r="C18" s="13" t="n"/>
      <c r="D18" s="13" t="n"/>
      <c r="E18" s="23" t="n"/>
      <c r="F18" s="23" t="n"/>
      <c r="G18" s="18" t="n"/>
      <c r="H18" s="23" t="n"/>
      <c r="I18" s="31">
        <f>IF(E18="","",ROUND(E18*1000000/130,1))</f>
        <v/>
      </c>
      <c r="J18" s="31">
        <f>IF(E18="","",ROUND(F18*1000000/130,1))</f>
        <v/>
      </c>
    </row>
    <row r="19" ht="22" customHeight="1">
      <c r="B19" s="16">
        <f>IF(C19="","SAM-"&amp;TEXT(COUNTA($C$5:C19),"000"))</f>
        <v/>
      </c>
      <c r="C19" s="11" t="n"/>
      <c r="D19" s="11" t="n"/>
      <c r="E19" s="22" t="n"/>
      <c r="F19" s="22" t="n"/>
      <c r="G19" s="17" t="n"/>
      <c r="H19" s="22" t="n"/>
      <c r="I19" s="30">
        <f>IF(E19="","",ROUND(E19*1000000/130,1))</f>
        <v/>
      </c>
      <c r="J19" s="30">
        <f>IF(E19="","",ROUND(F19*1000000/130,1))</f>
        <v/>
      </c>
    </row>
    <row r="20" ht="22" customHeight="1">
      <c r="B20" s="15">
        <f>IF(C20="","SAM-"&amp;TEXT(COUNTA($C$5:C20),"000"))</f>
        <v/>
      </c>
      <c r="C20" s="13" t="n"/>
      <c r="D20" s="13" t="n"/>
      <c r="E20" s="23" t="n"/>
      <c r="F20" s="23" t="n"/>
      <c r="G20" s="18" t="n"/>
      <c r="H20" s="23" t="n"/>
      <c r="I20" s="31">
        <f>IF(E20="","",ROUND(E20*1000000/130,1))</f>
        <v/>
      </c>
      <c r="J20" s="31">
        <f>IF(E20="","",ROUND(F20*1000000/130,1))</f>
        <v/>
      </c>
    </row>
    <row r="21" ht="22" customHeight="1">
      <c r="B21" s="16">
        <f>IF(C21="","SAM-"&amp;TEXT(COUNTA($C$5:C21),"000"))</f>
        <v/>
      </c>
      <c r="C21" s="11" t="n"/>
      <c r="D21" s="11" t="n"/>
      <c r="E21" s="22" t="n"/>
      <c r="F21" s="22" t="n"/>
      <c r="G21" s="17" t="n"/>
      <c r="H21" s="22" t="n"/>
      <c r="I21" s="30">
        <f>IF(E21="","",ROUND(E21*1000000/130,1))</f>
        <v/>
      </c>
      <c r="J21" s="30">
        <f>IF(E21="","",ROUND(F21*1000000/130,1))</f>
        <v/>
      </c>
    </row>
    <row r="22" ht="22" customHeight="1">
      <c r="B22" s="15">
        <f>IF(C22="","SAM-"&amp;TEXT(COUNTA($C$5:C22),"000"))</f>
        <v/>
      </c>
      <c r="C22" s="13" t="n"/>
      <c r="D22" s="13" t="n"/>
      <c r="E22" s="23" t="n"/>
      <c r="F22" s="23" t="n"/>
      <c r="G22" s="18" t="n"/>
      <c r="H22" s="23" t="n"/>
      <c r="I22" s="31">
        <f>IF(E22="","",ROUND(E22*1000000/130,1))</f>
        <v/>
      </c>
      <c r="J22" s="31">
        <f>IF(E22="","",ROUND(F22*1000000/130,1))</f>
        <v/>
      </c>
    </row>
    <row r="23" ht="22" customHeight="1">
      <c r="B23" s="16">
        <f>IF(C23="","SAM-"&amp;TEXT(COUNTA($C$5:C23),"000"))</f>
        <v/>
      </c>
      <c r="C23" s="11" t="n"/>
      <c r="D23" s="11" t="n"/>
      <c r="E23" s="22" t="n"/>
      <c r="F23" s="22" t="n"/>
      <c r="G23" s="17" t="n"/>
      <c r="H23" s="22" t="n"/>
      <c r="I23" s="30">
        <f>IF(E23="","",ROUND(E23*1000000/130,1))</f>
        <v/>
      </c>
      <c r="J23" s="30">
        <f>IF(E23="","",ROUND(F23*1000000/130,1))</f>
        <v/>
      </c>
    </row>
    <row r="24" ht="22" customHeight="1">
      <c r="B24" s="15">
        <f>IF(C24="","SAM-"&amp;TEXT(COUNTA($C$5:C24),"000"))</f>
        <v/>
      </c>
      <c r="C24" s="13" t="n"/>
      <c r="D24" s="13" t="n"/>
      <c r="E24" s="23" t="n"/>
      <c r="F24" s="23" t="n"/>
      <c r="G24" s="18" t="n"/>
      <c r="H24" s="23" t="n"/>
      <c r="I24" s="31">
        <f>IF(E24="","",ROUND(E24*1000000/130,1))</f>
        <v/>
      </c>
      <c r="J24" s="31">
        <f>IF(E24="","",ROUND(F24*1000000/130,1))</f>
        <v/>
      </c>
    </row>
    <row r="25" ht="22" customHeight="1">
      <c r="B25" s="16">
        <f>IF(C25="","SAM-"&amp;TEXT(COUNTA($C$5:C25),"000"))</f>
        <v/>
      </c>
      <c r="C25" s="11" t="n"/>
      <c r="D25" s="11" t="n"/>
      <c r="E25" s="22" t="n"/>
      <c r="F25" s="22" t="n"/>
      <c r="G25" s="17" t="n"/>
      <c r="H25" s="22" t="n"/>
      <c r="I25" s="30">
        <f>IF(E25="","",ROUND(E25*1000000/130,1))</f>
        <v/>
      </c>
      <c r="J25" s="30">
        <f>IF(E25="","",ROUND(F25*1000000/130,1))</f>
        <v/>
      </c>
    </row>
    <row r="26" ht="22" customHeight="1">
      <c r="B26" s="15">
        <f>IF(C26="","SAM-"&amp;TEXT(COUNTA($C$5:C26),"000"))</f>
        <v/>
      </c>
      <c r="C26" s="13" t="n"/>
      <c r="D26" s="13" t="n"/>
      <c r="E26" s="23" t="n"/>
      <c r="F26" s="23" t="n"/>
      <c r="G26" s="18" t="n"/>
      <c r="H26" s="23" t="n"/>
      <c r="I26" s="31">
        <f>IF(E26="","",ROUND(E26*1000000/130,1))</f>
        <v/>
      </c>
      <c r="J26" s="31">
        <f>IF(E26="","",ROUND(F26*1000000/130,1))</f>
        <v/>
      </c>
    </row>
    <row r="27" ht="22" customHeight="1">
      <c r="B27" s="16">
        <f>IF(C27="","SAM-"&amp;TEXT(COUNTA($C$5:C27),"000"))</f>
        <v/>
      </c>
      <c r="C27" s="11" t="n"/>
      <c r="D27" s="11" t="n"/>
      <c r="E27" s="22" t="n"/>
      <c r="F27" s="22" t="n"/>
      <c r="G27" s="17" t="n"/>
      <c r="H27" s="22" t="n"/>
      <c r="I27" s="30">
        <f>IF(E27="","",ROUND(E27*1000000/130,1))</f>
        <v/>
      </c>
      <c r="J27" s="30">
        <f>IF(E27="","",ROUND(F27*1000000/130,1))</f>
        <v/>
      </c>
    </row>
    <row r="28" ht="22" customHeight="1">
      <c r="B28" s="15">
        <f>IF(C28="","SAM-"&amp;TEXT(COUNTA($C$5:C28),"000"))</f>
        <v/>
      </c>
      <c r="C28" s="13" t="n"/>
      <c r="D28" s="13" t="n"/>
      <c r="E28" s="23" t="n"/>
      <c r="F28" s="23" t="n"/>
      <c r="G28" s="18" t="n"/>
      <c r="H28" s="23" t="n"/>
      <c r="I28" s="31">
        <f>IF(E28="","",ROUND(E28*1000000/130,1))</f>
        <v/>
      </c>
      <c r="J28" s="31">
        <f>IF(E28="","",ROUND(F28*1000000/130,1))</f>
        <v/>
      </c>
    </row>
    <row r="29" ht="22" customHeight="1">
      <c r="B29" s="16">
        <f>IF(C29="","SAM-"&amp;TEXT(COUNTA($C$5:C29),"000"))</f>
        <v/>
      </c>
      <c r="C29" s="11" t="n"/>
      <c r="D29" s="11" t="n"/>
      <c r="E29" s="22" t="n"/>
      <c r="F29" s="22" t="n"/>
      <c r="G29" s="17" t="n"/>
      <c r="H29" s="22" t="n"/>
      <c r="I29" s="30">
        <f>IF(E29="","",ROUND(E29*1000000/130,1))</f>
        <v/>
      </c>
      <c r="J29" s="30">
        <f>IF(E29="","",ROUND(F29*1000000/130,1))</f>
        <v/>
      </c>
    </row>
    <row r="30" ht="22" customHeight="1">
      <c r="B30" s="15">
        <f>IF(C30="","SAM-"&amp;TEXT(COUNTA($C$5:C30),"000"))</f>
        <v/>
      </c>
      <c r="C30" s="13" t="n"/>
      <c r="D30" s="13" t="n"/>
      <c r="E30" s="23" t="n"/>
      <c r="F30" s="23" t="n"/>
      <c r="G30" s="18" t="n"/>
      <c r="H30" s="23" t="n"/>
      <c r="I30" s="31">
        <f>IF(E30="","",ROUND(E30*1000000/130,1))</f>
        <v/>
      </c>
      <c r="J30" s="31">
        <f>IF(E30="","",ROUND(F30*1000000/130,1))</f>
        <v/>
      </c>
    </row>
    <row r="31" ht="22" customHeight="1">
      <c r="B31" s="16">
        <f>IF(C31="","SAM-"&amp;TEXT(COUNTA($C$5:C31),"000"))</f>
        <v/>
      </c>
      <c r="C31" s="11" t="n"/>
      <c r="D31" s="11" t="n"/>
      <c r="E31" s="22" t="n"/>
      <c r="F31" s="22" t="n"/>
      <c r="G31" s="17" t="n"/>
      <c r="H31" s="22" t="n"/>
      <c r="I31" s="30">
        <f>IF(E31="","",ROUND(E31*1000000/130,1))</f>
        <v/>
      </c>
      <c r="J31" s="30">
        <f>IF(E31="","",ROUND(F31*1000000/130,1))</f>
        <v/>
      </c>
    </row>
    <row r="32" ht="22" customHeight="1">
      <c r="B32" s="15">
        <f>IF(C32="","SAM-"&amp;TEXT(COUNTA($C$5:C32),"000"))</f>
        <v/>
      </c>
      <c r="C32" s="13" t="n"/>
      <c r="D32" s="13" t="n"/>
      <c r="E32" s="23" t="n"/>
      <c r="F32" s="23" t="n"/>
      <c r="G32" s="18" t="n"/>
      <c r="H32" s="23" t="n"/>
      <c r="I32" s="31">
        <f>IF(E32="","",ROUND(E32*1000000/130,1))</f>
        <v/>
      </c>
      <c r="J32" s="31">
        <f>IF(E32="","",ROUND(F32*1000000/130,1))</f>
        <v/>
      </c>
    </row>
    <row r="33" ht="22" customHeight="1">
      <c r="B33" s="16">
        <f>IF(C33="","SAM-"&amp;TEXT(COUNTA($C$5:C33),"000"))</f>
        <v/>
      </c>
      <c r="C33" s="11" t="n"/>
      <c r="D33" s="11" t="n"/>
      <c r="E33" s="22" t="n"/>
      <c r="F33" s="22" t="n"/>
      <c r="G33" s="17" t="n"/>
      <c r="H33" s="22" t="n"/>
      <c r="I33" s="30">
        <f>IF(E33="","",ROUND(E33*1000000/130,1))</f>
        <v/>
      </c>
      <c r="J33" s="30">
        <f>IF(E33="","",ROUND(F33*1000000/130,1))</f>
        <v/>
      </c>
    </row>
    <row r="34" ht="22" customHeight="1">
      <c r="B34" s="15">
        <f>IF(C34="","SAM-"&amp;TEXT(COUNTA($C$5:C34),"000"))</f>
        <v/>
      </c>
      <c r="C34" s="13" t="n"/>
      <c r="D34" s="13" t="n"/>
      <c r="E34" s="23" t="n"/>
      <c r="F34" s="23" t="n"/>
      <c r="G34" s="18" t="n"/>
      <c r="H34" s="23" t="n"/>
      <c r="I34" s="31">
        <f>IF(E34="","",ROUND(E34*1000000/130,1))</f>
        <v/>
      </c>
      <c r="J34" s="31">
        <f>IF(E34="","",ROUND(F34*1000000/130,1))</f>
        <v/>
      </c>
    </row>
    <row r="35" ht="22" customHeight="1">
      <c r="B35" s="16">
        <f>IF(C35="","SAM-"&amp;TEXT(COUNTA($C$5:C35),"000"))</f>
        <v/>
      </c>
      <c r="C35" s="11" t="n"/>
      <c r="D35" s="11" t="n"/>
      <c r="E35" s="22" t="n"/>
      <c r="F35" s="22" t="n"/>
      <c r="G35" s="17" t="n"/>
      <c r="H35" s="22" t="n"/>
      <c r="I35" s="30">
        <f>IF(E35="","",ROUND(E35*1000000/130,1))</f>
        <v/>
      </c>
      <c r="J35" s="30">
        <f>IF(E35="","",ROUND(F35*1000000/130,1))</f>
        <v/>
      </c>
    </row>
    <row r="36" ht="22" customHeight="1">
      <c r="B36" s="15">
        <f>IF(C36="","SAM-"&amp;TEXT(COUNTA($C$5:C36),"000"))</f>
        <v/>
      </c>
      <c r="C36" s="13" t="n"/>
      <c r="D36" s="13" t="n"/>
      <c r="E36" s="23" t="n"/>
      <c r="F36" s="23" t="n"/>
      <c r="G36" s="18" t="n"/>
      <c r="H36" s="23" t="n"/>
      <c r="I36" s="31">
        <f>IF(E36="","",ROUND(E36*1000000/130,1))</f>
        <v/>
      </c>
      <c r="J36" s="31">
        <f>IF(E36="","",ROUND(F36*1000000/130,1))</f>
        <v/>
      </c>
    </row>
    <row r="37" ht="22" customHeight="1">
      <c r="B37" s="16">
        <f>IF(C37="","SAM-"&amp;TEXT(COUNTA($C$5:C37),"000"))</f>
        <v/>
      </c>
      <c r="C37" s="11" t="n"/>
      <c r="D37" s="11" t="n"/>
      <c r="E37" s="22" t="n"/>
      <c r="F37" s="22" t="n"/>
      <c r="G37" s="17" t="n"/>
      <c r="H37" s="22" t="n"/>
      <c r="I37" s="30">
        <f>IF(E37="","",ROUND(E37*1000000/130,1))</f>
        <v/>
      </c>
      <c r="J37" s="30">
        <f>IF(E37="","",ROUND(F37*1000000/130,1))</f>
        <v/>
      </c>
    </row>
    <row r="38" ht="22" customHeight="1">
      <c r="B38" s="15">
        <f>IF(C38="","SAM-"&amp;TEXT(COUNTA($C$5:C38),"000"))</f>
        <v/>
      </c>
      <c r="C38" s="13" t="n"/>
      <c r="D38" s="13" t="n"/>
      <c r="E38" s="23" t="n"/>
      <c r="F38" s="23" t="n"/>
      <c r="G38" s="18" t="n"/>
      <c r="H38" s="23" t="n"/>
      <c r="I38" s="31">
        <f>IF(E38="","",ROUND(E38*1000000/130,1))</f>
        <v/>
      </c>
      <c r="J38" s="31">
        <f>IF(E38="","",ROUND(F38*1000000/130,1))</f>
        <v/>
      </c>
    </row>
    <row r="39" ht="22" customHeight="1">
      <c r="B39" s="16">
        <f>IF(C39="","SAM-"&amp;TEXT(COUNTA($C$5:C39),"000"))</f>
        <v/>
      </c>
      <c r="C39" s="11" t="n"/>
      <c r="D39" s="11" t="n"/>
      <c r="E39" s="22" t="n"/>
      <c r="F39" s="22" t="n"/>
      <c r="G39" s="17" t="n"/>
      <c r="H39" s="22" t="n"/>
      <c r="I39" s="30">
        <f>IF(E39="","",ROUND(E39*1000000/130,1))</f>
        <v/>
      </c>
      <c r="J39" s="30">
        <f>IF(E39="","",ROUND(F39*1000000/130,1))</f>
        <v/>
      </c>
    </row>
    <row r="40" ht="22" customHeight="1">
      <c r="B40" s="15">
        <f>IF(C40="","SAM-"&amp;TEXT(COUNTA($C$5:C40),"000"))</f>
        <v/>
      </c>
      <c r="C40" s="13" t="n"/>
      <c r="D40" s="13" t="n"/>
      <c r="E40" s="23" t="n"/>
      <c r="F40" s="23" t="n"/>
      <c r="G40" s="18" t="n"/>
      <c r="H40" s="23" t="n"/>
      <c r="I40" s="31">
        <f>IF(E40="","",ROUND(E40*1000000/130,1))</f>
        <v/>
      </c>
      <c r="J40" s="31">
        <f>IF(E40="","",ROUND(F40*1000000/130,1))</f>
        <v/>
      </c>
    </row>
    <row r="41" ht="22" customHeight="1">
      <c r="B41" s="16">
        <f>IF(C41="","SAM-"&amp;TEXT(COUNTA($C$5:C41),"000"))</f>
        <v/>
      </c>
      <c r="C41" s="11" t="n"/>
      <c r="D41" s="11" t="n"/>
      <c r="E41" s="22" t="n"/>
      <c r="F41" s="22" t="n"/>
      <c r="G41" s="17" t="n"/>
      <c r="H41" s="22" t="n"/>
      <c r="I41" s="30">
        <f>IF(E41="","",ROUND(E41*1000000/130,1))</f>
        <v/>
      </c>
      <c r="J41" s="30">
        <f>IF(E41="","",ROUND(F41*1000000/130,1))</f>
        <v/>
      </c>
    </row>
    <row r="42" ht="22" customHeight="1">
      <c r="B42" s="15">
        <f>IF(C42="","SAM-"&amp;TEXT(COUNTA($C$5:C42),"000"))</f>
        <v/>
      </c>
      <c r="C42" s="13" t="n"/>
      <c r="D42" s="13" t="n"/>
      <c r="E42" s="23" t="n"/>
      <c r="F42" s="23" t="n"/>
      <c r="G42" s="18" t="n"/>
      <c r="H42" s="23" t="n"/>
      <c r="I42" s="31">
        <f>IF(E42="","",ROUND(E42*1000000/130,1))</f>
        <v/>
      </c>
      <c r="J42" s="31">
        <f>IF(E42="","",ROUND(F42*1000000/130,1))</f>
        <v/>
      </c>
    </row>
    <row r="43" ht="22" customHeight="1">
      <c r="B43" s="16">
        <f>IF(C43="","SAM-"&amp;TEXT(COUNTA($C$5:C43),"000"))</f>
        <v/>
      </c>
      <c r="C43" s="11" t="n"/>
      <c r="D43" s="11" t="n"/>
      <c r="E43" s="22" t="n"/>
      <c r="F43" s="22" t="n"/>
      <c r="G43" s="17" t="n"/>
      <c r="H43" s="22" t="n"/>
      <c r="I43" s="30">
        <f>IF(E43="","",ROUND(E43*1000000/130,1))</f>
        <v/>
      </c>
      <c r="J43" s="30">
        <f>IF(E43="","",ROUND(F43*1000000/130,1))</f>
        <v/>
      </c>
    </row>
    <row r="44" ht="22" customHeight="1">
      <c r="B44" s="15">
        <f>IF(C44="","SAM-"&amp;TEXT(COUNTA($C$5:C44),"000"))</f>
        <v/>
      </c>
      <c r="C44" s="13" t="n"/>
      <c r="D44" s="13" t="n"/>
      <c r="E44" s="23" t="n"/>
      <c r="F44" s="23" t="n"/>
      <c r="G44" s="18" t="n"/>
      <c r="H44" s="23" t="n"/>
      <c r="I44" s="31">
        <f>IF(E44="","",ROUND(E44*1000000/130,1))</f>
        <v/>
      </c>
      <c r="J44" s="31">
        <f>IF(E44="","",ROUND(F44*1000000/130,1))</f>
        <v/>
      </c>
    </row>
    <row r="45" ht="22" customHeight="1">
      <c r="B45" s="16">
        <f>IF(C45="","SAM-"&amp;TEXT(COUNTA($C$5:C45),"000"))</f>
        <v/>
      </c>
      <c r="C45" s="11" t="n"/>
      <c r="D45" s="11" t="n"/>
      <c r="E45" s="22" t="n"/>
      <c r="F45" s="22" t="n"/>
      <c r="G45" s="17" t="n"/>
      <c r="H45" s="22" t="n"/>
      <c r="I45" s="30">
        <f>IF(E45="","",ROUND(E45*1000000/130,1))</f>
        <v/>
      </c>
      <c r="J45" s="30">
        <f>IF(E45="","",ROUND(F45*1000000/130,1))</f>
        <v/>
      </c>
    </row>
    <row r="46" ht="22" customHeight="1">
      <c r="B46" s="15">
        <f>IF(C46="","SAM-"&amp;TEXT(COUNTA($C$5:C46),"000"))</f>
        <v/>
      </c>
      <c r="C46" s="13" t="n"/>
      <c r="D46" s="13" t="n"/>
      <c r="E46" s="23" t="n"/>
      <c r="F46" s="23" t="n"/>
      <c r="G46" s="18" t="n"/>
      <c r="H46" s="23" t="n"/>
      <c r="I46" s="31">
        <f>IF(E46="","",ROUND(E46*1000000/130,1))</f>
        <v/>
      </c>
      <c r="J46" s="31">
        <f>IF(E46="","",ROUND(F46*1000000/130,1))</f>
        <v/>
      </c>
    </row>
    <row r="47" ht="22" customHeight="1">
      <c r="B47" s="16">
        <f>IF(C47="","SAM-"&amp;TEXT(COUNTA($C$5:C47),"000"))</f>
        <v/>
      </c>
      <c r="C47" s="11" t="n"/>
      <c r="D47" s="11" t="n"/>
      <c r="E47" s="22" t="n"/>
      <c r="F47" s="22" t="n"/>
      <c r="G47" s="17" t="n"/>
      <c r="H47" s="22" t="n"/>
      <c r="I47" s="30">
        <f>IF(E47="","",ROUND(E47*1000000/130,1))</f>
        <v/>
      </c>
      <c r="J47" s="30">
        <f>IF(E47="","",ROUND(F47*1000000/130,1))</f>
        <v/>
      </c>
    </row>
    <row r="48" ht="22" customHeight="1">
      <c r="B48" s="15">
        <f>IF(C48="","SAM-"&amp;TEXT(COUNTA($C$5:C48),"000"))</f>
        <v/>
      </c>
      <c r="C48" s="13" t="n"/>
      <c r="D48" s="13" t="n"/>
      <c r="E48" s="23" t="n"/>
      <c r="F48" s="23" t="n"/>
      <c r="G48" s="18" t="n"/>
      <c r="H48" s="23" t="n"/>
      <c r="I48" s="31">
        <f>IF(E48="","",ROUND(E48*1000000/130,1))</f>
        <v/>
      </c>
      <c r="J48" s="31">
        <f>IF(E48="","",ROUND(F48*1000000/130,1))</f>
        <v/>
      </c>
    </row>
    <row r="49" ht="22" customHeight="1">
      <c r="B49" s="16">
        <f>IF(C49="","SAM-"&amp;TEXT(COUNTA($C$5:C49),"000"))</f>
        <v/>
      </c>
      <c r="C49" s="11" t="n"/>
      <c r="D49" s="11" t="n"/>
      <c r="E49" s="22" t="n"/>
      <c r="F49" s="22" t="n"/>
      <c r="G49" s="17" t="n"/>
      <c r="H49" s="22" t="n"/>
      <c r="I49" s="30">
        <f>IF(E49="","",ROUND(E49*1000000/130,1))</f>
        <v/>
      </c>
      <c r="J49" s="30">
        <f>IF(E49="","",ROUND(F49*1000000/130,1))</f>
        <v/>
      </c>
    </row>
    <row r="50" ht="22" customHeight="1">
      <c r="B50" s="15">
        <f>IF(C50="","SAM-"&amp;TEXT(COUNTA($C$5:C50),"000"))</f>
        <v/>
      </c>
      <c r="C50" s="13" t="n"/>
      <c r="D50" s="13" t="n"/>
      <c r="E50" s="23" t="n"/>
      <c r="F50" s="23" t="n"/>
      <c r="G50" s="18" t="n"/>
      <c r="H50" s="23" t="n"/>
      <c r="I50" s="31">
        <f>IF(E50="","",ROUND(E50*1000000/130,1))</f>
        <v/>
      </c>
      <c r="J50" s="31">
        <f>IF(E50="","",ROUND(F50*1000000/130,1))</f>
        <v/>
      </c>
    </row>
    <row r="51" ht="22" customHeight="1">
      <c r="B51" s="16">
        <f>IF(C51="","SAM-"&amp;TEXT(COUNTA($C$5:C51),"000"))</f>
        <v/>
      </c>
      <c r="C51" s="11" t="n"/>
      <c r="D51" s="11" t="n"/>
      <c r="E51" s="22" t="n"/>
      <c r="F51" s="22" t="n"/>
      <c r="G51" s="17" t="n"/>
      <c r="H51" s="22" t="n"/>
      <c r="I51" s="30">
        <f>IF(E51="","",ROUND(E51*1000000/130,1))</f>
        <v/>
      </c>
      <c r="J51" s="30">
        <f>IF(E51="","",ROUND(F51*1000000/130,1))</f>
        <v/>
      </c>
    </row>
    <row r="52" ht="22" customHeight="1">
      <c r="B52" s="15">
        <f>IF(C52="","SAM-"&amp;TEXT(COUNTA($C$5:C52),"000"))</f>
        <v/>
      </c>
      <c r="C52" s="13" t="n"/>
      <c r="D52" s="13" t="n"/>
      <c r="E52" s="23" t="n"/>
      <c r="F52" s="23" t="n"/>
      <c r="G52" s="18" t="n"/>
      <c r="H52" s="23" t="n"/>
      <c r="I52" s="31">
        <f>IF(E52="","",ROUND(E52*1000000/130,1))</f>
        <v/>
      </c>
      <c r="J52" s="31">
        <f>IF(E52="","",ROUND(F52*1000000/130,1))</f>
        <v/>
      </c>
    </row>
    <row r="53" ht="22" customHeight="1">
      <c r="B53" s="16">
        <f>IF(C53="","SAM-"&amp;TEXT(COUNTA($C$5:C53),"000"))</f>
        <v/>
      </c>
      <c r="C53" s="11" t="n"/>
      <c r="D53" s="11" t="n"/>
      <c r="E53" s="22" t="n"/>
      <c r="F53" s="22" t="n"/>
      <c r="G53" s="17" t="n"/>
      <c r="H53" s="22" t="n"/>
      <c r="I53" s="30">
        <f>IF(E53="","",ROUND(E53*1000000/130,1))</f>
        <v/>
      </c>
      <c r="J53" s="30">
        <f>IF(E53="","",ROUND(F53*1000000/130,1))</f>
        <v/>
      </c>
    </row>
    <row r="54" ht="22" customHeight="1">
      <c r="B54" s="15">
        <f>IF(C54="","SAM-"&amp;TEXT(COUNTA($C$5:C54),"000"))</f>
        <v/>
      </c>
      <c r="C54" s="13" t="n"/>
      <c r="D54" s="13" t="n"/>
      <c r="E54" s="23" t="n"/>
      <c r="F54" s="23" t="n"/>
      <c r="G54" s="18" t="n"/>
      <c r="H54" s="23" t="n"/>
      <c r="I54" s="31">
        <f>IF(E54="","",ROUND(E54*1000000/130,1))</f>
        <v/>
      </c>
      <c r="J54" s="31">
        <f>IF(E54="","",ROUND(F54*1000000/130,1))</f>
        <v/>
      </c>
    </row>
    <row r="55" ht="22" customHeight="1">
      <c r="B55" s="16">
        <f>IF(C55="","SAM-"&amp;TEXT(COUNTA($C$5:C55),"000"))</f>
        <v/>
      </c>
      <c r="C55" s="11" t="n"/>
      <c r="D55" s="11" t="n"/>
      <c r="E55" s="22" t="n"/>
      <c r="F55" s="22" t="n"/>
      <c r="G55" s="17" t="n"/>
      <c r="H55" s="22" t="n"/>
      <c r="I55" s="30">
        <f>IF(E55="","",ROUND(E55*1000000/130,1))</f>
        <v/>
      </c>
      <c r="J55" s="30">
        <f>IF(E55="","",ROUND(F55*1000000/130,1))</f>
        <v/>
      </c>
    </row>
    <row r="56" ht="22" customHeight="1">
      <c r="B56" s="15">
        <f>IF(C56="","SAM-"&amp;TEXT(COUNTA($C$5:C56),"000"))</f>
        <v/>
      </c>
      <c r="C56" s="13" t="n"/>
      <c r="D56" s="13" t="n"/>
      <c r="E56" s="23" t="n"/>
      <c r="F56" s="23" t="n"/>
      <c r="G56" s="18" t="n"/>
      <c r="H56" s="23" t="n"/>
      <c r="I56" s="31">
        <f>IF(E56="","",ROUND(E56*1000000/130,1))</f>
        <v/>
      </c>
      <c r="J56" s="31">
        <f>IF(E56="","",ROUND(F56*1000000/130,1))</f>
        <v/>
      </c>
    </row>
    <row r="57" ht="22" customHeight="1">
      <c r="B57" s="16">
        <f>IF(C57="","SAM-"&amp;TEXT(COUNTA($C$5:C57),"000"))</f>
        <v/>
      </c>
      <c r="C57" s="11" t="n"/>
      <c r="D57" s="11" t="n"/>
      <c r="E57" s="22" t="n"/>
      <c r="F57" s="22" t="n"/>
      <c r="G57" s="17" t="n"/>
      <c r="H57" s="22" t="n"/>
      <c r="I57" s="30">
        <f>IF(E57="","",ROUND(E57*1000000/130,1))</f>
        <v/>
      </c>
      <c r="J57" s="30">
        <f>IF(E57="","",ROUND(F57*1000000/130,1))</f>
        <v/>
      </c>
    </row>
    <row r="58" ht="22" customHeight="1">
      <c r="B58" s="15">
        <f>IF(C58="","SAM-"&amp;TEXT(COUNTA($C$5:C58),"000"))</f>
        <v/>
      </c>
      <c r="C58" s="13" t="n"/>
      <c r="D58" s="13" t="n"/>
      <c r="E58" s="23" t="n"/>
      <c r="F58" s="23" t="n"/>
      <c r="G58" s="18" t="n"/>
      <c r="H58" s="23" t="n"/>
      <c r="I58" s="31">
        <f>IF(E58="","",ROUND(E58*1000000/130,1))</f>
        <v/>
      </c>
      <c r="J58" s="31">
        <f>IF(E58="","",ROUND(F58*1000000/130,1))</f>
        <v/>
      </c>
    </row>
    <row r="59" ht="22" customHeight="1">
      <c r="B59" s="16">
        <f>IF(C59="","SAM-"&amp;TEXT(COUNTA($C$5:C59),"000"))</f>
        <v/>
      </c>
      <c r="C59" s="11" t="n"/>
      <c r="D59" s="11" t="n"/>
      <c r="E59" s="22" t="n"/>
      <c r="F59" s="22" t="n"/>
      <c r="G59" s="17" t="n"/>
      <c r="H59" s="22" t="n"/>
      <c r="I59" s="30">
        <f>IF(E59="","",ROUND(E59*1000000/130,1))</f>
        <v/>
      </c>
      <c r="J59" s="30">
        <f>IF(E59="","",ROUND(F59*1000000/130,1))</f>
        <v/>
      </c>
    </row>
    <row r="60" ht="22" customHeight="1">
      <c r="B60" s="15">
        <f>IF(C60="","SAM-"&amp;TEXT(COUNTA($C$5:C60),"000"))</f>
        <v/>
      </c>
      <c r="C60" s="13" t="n"/>
      <c r="D60" s="13" t="n"/>
      <c r="E60" s="23" t="n"/>
      <c r="F60" s="23" t="n"/>
      <c r="G60" s="18" t="n"/>
      <c r="H60" s="23" t="n"/>
      <c r="I60" s="31">
        <f>IF(E60="","",ROUND(E60*1000000/130,1))</f>
        <v/>
      </c>
      <c r="J60" s="31">
        <f>IF(E60="","",ROUND(F60*1000000/130,1))</f>
        <v/>
      </c>
    </row>
    <row r="61" ht="22" customHeight="1">
      <c r="B61" s="16">
        <f>IF(C61="","SAM-"&amp;TEXT(COUNTA($C$5:C61),"000"))</f>
        <v/>
      </c>
      <c r="C61" s="11" t="n"/>
      <c r="D61" s="11" t="n"/>
      <c r="E61" s="22" t="n"/>
      <c r="F61" s="22" t="n"/>
      <c r="G61" s="17" t="n"/>
      <c r="H61" s="22" t="n"/>
      <c r="I61" s="30">
        <f>IF(E61="","",ROUND(E61*1000000/130,1))</f>
        <v/>
      </c>
      <c r="J61" s="30">
        <f>IF(E61="","",ROUND(F61*1000000/130,1))</f>
        <v/>
      </c>
    </row>
    <row r="62" ht="22" customHeight="1">
      <c r="B62" s="15">
        <f>IF(C62="","SAM-"&amp;TEXT(COUNTA($C$5:C62),"000"))</f>
        <v/>
      </c>
      <c r="C62" s="13" t="n"/>
      <c r="D62" s="13" t="n"/>
      <c r="E62" s="23" t="n"/>
      <c r="F62" s="23" t="n"/>
      <c r="G62" s="18" t="n"/>
      <c r="H62" s="23" t="n"/>
      <c r="I62" s="31">
        <f>IF(E62="","",ROUND(E62*1000000/130,1))</f>
        <v/>
      </c>
      <c r="J62" s="31">
        <f>IF(E62="","",ROUND(F62*1000000/130,1))</f>
        <v/>
      </c>
    </row>
    <row r="63" ht="22" customHeight="1">
      <c r="B63" s="16">
        <f>IF(C63="","SAM-"&amp;TEXT(COUNTA($C$5:C63),"000"))</f>
        <v/>
      </c>
      <c r="C63" s="11" t="n"/>
      <c r="D63" s="11" t="n"/>
      <c r="E63" s="22" t="n"/>
      <c r="F63" s="22" t="n"/>
      <c r="G63" s="17" t="n"/>
      <c r="H63" s="22" t="n"/>
      <c r="I63" s="30">
        <f>IF(E63="","",ROUND(E63*1000000/130,1))</f>
        <v/>
      </c>
      <c r="J63" s="30">
        <f>IF(E63="","",ROUND(F63*1000000/130,1))</f>
        <v/>
      </c>
    </row>
    <row r="64" ht="22" customHeight="1">
      <c r="B64" s="15">
        <f>IF(C64="","SAM-"&amp;TEXT(COUNTA($C$5:C64),"000"))</f>
        <v/>
      </c>
      <c r="C64" s="13" t="n"/>
      <c r="D64" s="13" t="n"/>
      <c r="E64" s="23" t="n"/>
      <c r="F64" s="23" t="n"/>
      <c r="G64" s="18" t="n"/>
      <c r="H64" s="23" t="n"/>
      <c r="I64" s="31">
        <f>IF(E64="","",ROUND(E64*1000000/130,1))</f>
        <v/>
      </c>
      <c r="J64" s="31">
        <f>IF(E64="","",ROUND(F64*1000000/130,1))</f>
        <v/>
      </c>
    </row>
    <row r="65" ht="22" customHeight="1">
      <c r="B65" s="16">
        <f>IF(C65="","SAM-"&amp;TEXT(COUNTA($C$5:C65),"000"))</f>
        <v/>
      </c>
      <c r="C65" s="11" t="n"/>
      <c r="D65" s="11" t="n"/>
      <c r="E65" s="22" t="n"/>
      <c r="F65" s="22" t="n"/>
      <c r="G65" s="17" t="n"/>
      <c r="H65" s="22" t="n"/>
      <c r="I65" s="30">
        <f>IF(E65="","",ROUND(E65*1000000/130,1))</f>
        <v/>
      </c>
      <c r="J65" s="30">
        <f>IF(E65="","",ROUND(F65*1000000/130,1))</f>
        <v/>
      </c>
    </row>
    <row r="66" ht="22" customHeight="1">
      <c r="B66" s="15">
        <f>IF(C66="","SAM-"&amp;TEXT(COUNTA($C$5:C66),"000"))</f>
        <v/>
      </c>
      <c r="C66" s="13" t="n"/>
      <c r="D66" s="13" t="n"/>
      <c r="E66" s="23" t="n"/>
      <c r="F66" s="23" t="n"/>
      <c r="G66" s="18" t="n"/>
      <c r="H66" s="23" t="n"/>
      <c r="I66" s="31">
        <f>IF(E66="","",ROUND(E66*1000000/130,1))</f>
        <v/>
      </c>
      <c r="J66" s="31">
        <f>IF(E66="","",ROUND(F66*1000000/130,1))</f>
        <v/>
      </c>
    </row>
    <row r="67" ht="22" customHeight="1">
      <c r="B67" s="16">
        <f>IF(C67="","SAM-"&amp;TEXT(COUNTA($C$5:C67),"000"))</f>
        <v/>
      </c>
      <c r="C67" s="11" t="n"/>
      <c r="D67" s="11" t="n"/>
      <c r="E67" s="22" t="n"/>
      <c r="F67" s="22" t="n"/>
      <c r="G67" s="17" t="n"/>
      <c r="H67" s="22" t="n"/>
      <c r="I67" s="30">
        <f>IF(E67="","",ROUND(E67*1000000/130,1))</f>
        <v/>
      </c>
      <c r="J67" s="30">
        <f>IF(E67="","",ROUND(F67*1000000/130,1))</f>
        <v/>
      </c>
    </row>
    <row r="68" ht="22" customHeight="1">
      <c r="B68" s="15">
        <f>IF(C68="","SAM-"&amp;TEXT(COUNTA($C$5:C68),"000"))</f>
        <v/>
      </c>
      <c r="C68" s="13" t="n"/>
      <c r="D68" s="13" t="n"/>
      <c r="E68" s="23" t="n"/>
      <c r="F68" s="23" t="n"/>
      <c r="G68" s="18" t="n"/>
      <c r="H68" s="23" t="n"/>
      <c r="I68" s="31">
        <f>IF(E68="","",ROUND(E68*1000000/130,1))</f>
        <v/>
      </c>
      <c r="J68" s="31">
        <f>IF(E68="","",ROUND(F68*1000000/130,1))</f>
        <v/>
      </c>
    </row>
    <row r="69" ht="22" customHeight="1">
      <c r="B69" s="16">
        <f>IF(C69="","SAM-"&amp;TEXT(COUNTA($C$5:C69),"000"))</f>
        <v/>
      </c>
      <c r="C69" s="11" t="n"/>
      <c r="D69" s="11" t="n"/>
      <c r="E69" s="22" t="n"/>
      <c r="F69" s="22" t="n"/>
      <c r="G69" s="17" t="n"/>
      <c r="H69" s="22" t="n"/>
      <c r="I69" s="30">
        <f>IF(E69="","",ROUND(E69*1000000/130,1))</f>
        <v/>
      </c>
      <c r="J69" s="30">
        <f>IF(E69="","",ROUND(F69*1000000/130,1))</f>
        <v/>
      </c>
    </row>
    <row r="70" ht="22" customHeight="1">
      <c r="B70" s="15">
        <f>IF(C70="","SAM-"&amp;TEXT(COUNTA($C$5:C70),"000"))</f>
        <v/>
      </c>
      <c r="C70" s="13" t="n"/>
      <c r="D70" s="13" t="n"/>
      <c r="E70" s="23" t="n"/>
      <c r="F70" s="23" t="n"/>
      <c r="G70" s="18" t="n"/>
      <c r="H70" s="23" t="n"/>
      <c r="I70" s="31">
        <f>IF(E70="","",ROUND(E70*1000000/130,1))</f>
        <v/>
      </c>
      <c r="J70" s="31">
        <f>IF(E70="","",ROUND(F70*1000000/130,1))</f>
        <v/>
      </c>
    </row>
    <row r="71" ht="22" customHeight="1">
      <c r="B71" s="16">
        <f>IF(C71="","SAM-"&amp;TEXT(COUNTA($C$5:C71),"000"))</f>
        <v/>
      </c>
      <c r="C71" s="11" t="n"/>
      <c r="D71" s="11" t="n"/>
      <c r="E71" s="22" t="n"/>
      <c r="F71" s="22" t="n"/>
      <c r="G71" s="17" t="n"/>
      <c r="H71" s="22" t="n"/>
      <c r="I71" s="30">
        <f>IF(E71="","",ROUND(E71*1000000/130,1))</f>
        <v/>
      </c>
      <c r="J71" s="30">
        <f>IF(E71="","",ROUND(F71*1000000/130,1))</f>
        <v/>
      </c>
    </row>
    <row r="72" ht="22" customHeight="1">
      <c r="B72" s="15">
        <f>IF(C72="","SAM-"&amp;TEXT(COUNTA($C$5:C72),"000"))</f>
        <v/>
      </c>
      <c r="C72" s="13" t="n"/>
      <c r="D72" s="13" t="n"/>
      <c r="E72" s="23" t="n"/>
      <c r="F72" s="23" t="n"/>
      <c r="G72" s="18" t="n"/>
      <c r="H72" s="23" t="n"/>
      <c r="I72" s="31">
        <f>IF(E72="","",ROUND(E72*1000000/130,1))</f>
        <v/>
      </c>
      <c r="J72" s="31">
        <f>IF(E72="","",ROUND(F72*1000000/130,1))</f>
        <v/>
      </c>
    </row>
    <row r="73" ht="22" customHeight="1">
      <c r="B73" s="16">
        <f>IF(C73="","SAM-"&amp;TEXT(COUNTA($C$5:C73),"000"))</f>
        <v/>
      </c>
      <c r="C73" s="11" t="n"/>
      <c r="D73" s="11" t="n"/>
      <c r="E73" s="22" t="n"/>
      <c r="F73" s="22" t="n"/>
      <c r="G73" s="17" t="n"/>
      <c r="H73" s="22" t="n"/>
      <c r="I73" s="30">
        <f>IF(E73="","",ROUND(E73*1000000/130,1))</f>
        <v/>
      </c>
      <c r="J73" s="30">
        <f>IF(E73="","",ROUND(F73*1000000/130,1))</f>
        <v/>
      </c>
    </row>
    <row r="74" ht="22" customHeight="1">
      <c r="B74" s="15">
        <f>IF(C74="","SAM-"&amp;TEXT(COUNTA($C$5:C74),"000"))</f>
        <v/>
      </c>
      <c r="C74" s="13" t="n"/>
      <c r="D74" s="13" t="n"/>
      <c r="E74" s="23" t="n"/>
      <c r="F74" s="23" t="n"/>
      <c r="G74" s="18" t="n"/>
      <c r="H74" s="23" t="n"/>
      <c r="I74" s="31">
        <f>IF(E74="","",ROUND(E74*1000000/130,1))</f>
        <v/>
      </c>
      <c r="J74" s="31">
        <f>IF(E74="","",ROUND(F74*1000000/130,1))</f>
        <v/>
      </c>
    </row>
    <row r="75" ht="22" customHeight="1">
      <c r="B75" s="16">
        <f>IF(C75="","SAM-"&amp;TEXT(COUNTA($C$5:C75),"000"))</f>
        <v/>
      </c>
      <c r="C75" s="11" t="n"/>
      <c r="D75" s="11" t="n"/>
      <c r="E75" s="22" t="n"/>
      <c r="F75" s="22" t="n"/>
      <c r="G75" s="17" t="n"/>
      <c r="H75" s="22" t="n"/>
      <c r="I75" s="30">
        <f>IF(E75="","",ROUND(E75*1000000/130,1))</f>
        <v/>
      </c>
      <c r="J75" s="30">
        <f>IF(E75="","",ROUND(F75*1000000/130,1))</f>
        <v/>
      </c>
    </row>
    <row r="76" ht="22" customHeight="1">
      <c r="B76" s="15">
        <f>IF(C76="","SAM-"&amp;TEXT(COUNTA($C$5:C76),"000"))</f>
        <v/>
      </c>
      <c r="C76" s="13" t="n"/>
      <c r="D76" s="13" t="n"/>
      <c r="E76" s="23" t="n"/>
      <c r="F76" s="23" t="n"/>
      <c r="G76" s="18" t="n"/>
      <c r="H76" s="23" t="n"/>
      <c r="I76" s="31">
        <f>IF(E76="","",ROUND(E76*1000000/130,1))</f>
        <v/>
      </c>
      <c r="J76" s="31">
        <f>IF(E76="","",ROUND(F76*1000000/130,1))</f>
        <v/>
      </c>
    </row>
    <row r="77" ht="22" customHeight="1">
      <c r="B77" s="16">
        <f>IF(C77="","SAM-"&amp;TEXT(COUNTA($C$5:C77),"000"))</f>
        <v/>
      </c>
      <c r="C77" s="11" t="n"/>
      <c r="D77" s="11" t="n"/>
      <c r="E77" s="22" t="n"/>
      <c r="F77" s="22" t="n"/>
      <c r="G77" s="17" t="n"/>
      <c r="H77" s="22" t="n"/>
      <c r="I77" s="30">
        <f>IF(E77="","",ROUND(E77*1000000/130,1))</f>
        <v/>
      </c>
      <c r="J77" s="30">
        <f>IF(E77="","",ROUND(F77*1000000/130,1))</f>
        <v/>
      </c>
    </row>
    <row r="78" ht="22" customHeight="1">
      <c r="B78" s="15">
        <f>IF(C78="","SAM-"&amp;TEXT(COUNTA($C$5:C78),"000"))</f>
        <v/>
      </c>
      <c r="C78" s="13" t="n"/>
      <c r="D78" s="13" t="n"/>
      <c r="E78" s="23" t="n"/>
      <c r="F78" s="23" t="n"/>
      <c r="G78" s="18" t="n"/>
      <c r="H78" s="23" t="n"/>
      <c r="I78" s="31">
        <f>IF(E78="","",ROUND(E78*1000000/130,1))</f>
        <v/>
      </c>
      <c r="J78" s="31">
        <f>IF(E78="","",ROUND(F78*1000000/130,1))</f>
        <v/>
      </c>
    </row>
    <row r="79" ht="22" customHeight="1">
      <c r="B79" s="16">
        <f>IF(C79="","SAM-"&amp;TEXT(COUNTA($C$5:C79),"000"))</f>
        <v/>
      </c>
      <c r="C79" s="11" t="n"/>
      <c r="D79" s="11" t="n"/>
      <c r="E79" s="22" t="n"/>
      <c r="F79" s="22" t="n"/>
      <c r="G79" s="17" t="n"/>
      <c r="H79" s="22" t="n"/>
      <c r="I79" s="30">
        <f>IF(E79="","",ROUND(E79*1000000/130,1))</f>
        <v/>
      </c>
      <c r="J79" s="30">
        <f>IF(E79="","",ROUND(F79*1000000/130,1))</f>
        <v/>
      </c>
    </row>
    <row r="80" ht="22" customHeight="1">
      <c r="B80" s="15">
        <f>IF(C80="","SAM-"&amp;TEXT(COUNTA($C$5:C80),"000"))</f>
        <v/>
      </c>
      <c r="C80" s="13" t="n"/>
      <c r="D80" s="13" t="n"/>
      <c r="E80" s="23" t="n"/>
      <c r="F80" s="23" t="n"/>
      <c r="G80" s="18" t="n"/>
      <c r="H80" s="23" t="n"/>
      <c r="I80" s="31">
        <f>IF(E80="","",ROUND(E80*1000000/130,1))</f>
        <v/>
      </c>
      <c r="J80" s="31">
        <f>IF(E80="","",ROUND(F80*1000000/130,1))</f>
        <v/>
      </c>
    </row>
    <row r="81" ht="22" customHeight="1">
      <c r="B81" s="16">
        <f>IF(C81="","SAM-"&amp;TEXT(COUNTA($C$5:C81),"000"))</f>
        <v/>
      </c>
      <c r="C81" s="11" t="n"/>
      <c r="D81" s="11" t="n"/>
      <c r="E81" s="22" t="n"/>
      <c r="F81" s="22" t="n"/>
      <c r="G81" s="17" t="n"/>
      <c r="H81" s="22" t="n"/>
      <c r="I81" s="30">
        <f>IF(E81="","",ROUND(E81*1000000/130,1))</f>
        <v/>
      </c>
      <c r="J81" s="30">
        <f>IF(E81="","",ROUND(F81*1000000/130,1))</f>
        <v/>
      </c>
    </row>
    <row r="82" ht="22" customHeight="1">
      <c r="B82" s="15">
        <f>IF(C82="","SAM-"&amp;TEXT(COUNTA($C$5:C82),"000"))</f>
        <v/>
      </c>
      <c r="C82" s="13" t="n"/>
      <c r="D82" s="13" t="n"/>
      <c r="E82" s="23" t="n"/>
      <c r="F82" s="23" t="n"/>
      <c r="G82" s="18" t="n"/>
      <c r="H82" s="23" t="n"/>
      <c r="I82" s="31">
        <f>IF(E82="","",ROUND(E82*1000000/130,1))</f>
        <v/>
      </c>
      <c r="J82" s="31">
        <f>IF(E82="","",ROUND(F82*1000000/130,1))</f>
        <v/>
      </c>
    </row>
    <row r="83" ht="22" customHeight="1">
      <c r="B83" s="16">
        <f>IF(C83="","SAM-"&amp;TEXT(COUNTA($C$5:C83),"000"))</f>
        <v/>
      </c>
      <c r="C83" s="11" t="n"/>
      <c r="D83" s="11" t="n"/>
      <c r="E83" s="22" t="n"/>
      <c r="F83" s="22" t="n"/>
      <c r="G83" s="17" t="n"/>
      <c r="H83" s="22" t="n"/>
      <c r="I83" s="30">
        <f>IF(E83="","",ROUND(E83*1000000/130,1))</f>
        <v/>
      </c>
      <c r="J83" s="30">
        <f>IF(E83="","",ROUND(F83*1000000/130,1))</f>
        <v/>
      </c>
    </row>
    <row r="84" ht="22" customHeight="1">
      <c r="B84" s="15">
        <f>IF(C84="","SAM-"&amp;TEXT(COUNTA($C$5:C84),"000"))</f>
        <v/>
      </c>
      <c r="C84" s="13" t="n"/>
      <c r="D84" s="13" t="n"/>
      <c r="E84" s="23" t="n"/>
      <c r="F84" s="23" t="n"/>
      <c r="G84" s="18" t="n"/>
      <c r="H84" s="23" t="n"/>
      <c r="I84" s="31">
        <f>IF(E84="","",ROUND(E84*1000000/130,1))</f>
        <v/>
      </c>
      <c r="J84" s="31">
        <f>IF(E84="","",ROUND(F84*1000000/130,1))</f>
        <v/>
      </c>
    </row>
    <row r="85" ht="22" customHeight="1">
      <c r="B85" s="16">
        <f>IF(C85="","SAM-"&amp;TEXT(COUNTA($C$5:C85),"000"))</f>
        <v/>
      </c>
      <c r="C85" s="11" t="n"/>
      <c r="D85" s="11" t="n"/>
      <c r="E85" s="22" t="n"/>
      <c r="F85" s="22" t="n"/>
      <c r="G85" s="17" t="n"/>
      <c r="H85" s="22" t="n"/>
      <c r="I85" s="30">
        <f>IF(E85="","",ROUND(E85*1000000/130,1))</f>
        <v/>
      </c>
      <c r="J85" s="30">
        <f>IF(E85="","",ROUND(F85*1000000/130,1))</f>
        <v/>
      </c>
    </row>
    <row r="86" ht="22" customHeight="1">
      <c r="B86" s="15">
        <f>IF(C86="","SAM-"&amp;TEXT(COUNTA($C$5:C86),"000"))</f>
        <v/>
      </c>
      <c r="C86" s="13" t="n"/>
      <c r="D86" s="13" t="n"/>
      <c r="E86" s="23" t="n"/>
      <c r="F86" s="23" t="n"/>
      <c r="G86" s="18" t="n"/>
      <c r="H86" s="23" t="n"/>
      <c r="I86" s="31">
        <f>IF(E86="","",ROUND(E86*1000000/130,1))</f>
        <v/>
      </c>
      <c r="J86" s="31">
        <f>IF(E86="","",ROUND(F86*1000000/130,1))</f>
        <v/>
      </c>
    </row>
    <row r="87" ht="22" customHeight="1">
      <c r="B87" s="16">
        <f>IF(C87="","SAM-"&amp;TEXT(COUNTA($C$5:C87),"000"))</f>
        <v/>
      </c>
      <c r="C87" s="11" t="n"/>
      <c r="D87" s="11" t="n"/>
      <c r="E87" s="22" t="n"/>
      <c r="F87" s="22" t="n"/>
      <c r="G87" s="17" t="n"/>
      <c r="H87" s="22" t="n"/>
      <c r="I87" s="30">
        <f>IF(E87="","",ROUND(E87*1000000/130,1))</f>
        <v/>
      </c>
      <c r="J87" s="30">
        <f>IF(E87="","",ROUND(F87*1000000/130,1))</f>
        <v/>
      </c>
    </row>
    <row r="88" ht="22" customHeight="1">
      <c r="B88" s="15">
        <f>IF(C88="","SAM-"&amp;TEXT(COUNTA($C$5:C88),"000"))</f>
        <v/>
      </c>
      <c r="C88" s="13" t="n"/>
      <c r="D88" s="13" t="n"/>
      <c r="E88" s="23" t="n"/>
      <c r="F88" s="23" t="n"/>
      <c r="G88" s="18" t="n"/>
      <c r="H88" s="23" t="n"/>
      <c r="I88" s="31">
        <f>IF(E88="","",ROUND(E88*1000000/130,1))</f>
        <v/>
      </c>
      <c r="J88" s="31">
        <f>IF(E88="","",ROUND(F88*1000000/130,1))</f>
        <v/>
      </c>
    </row>
    <row r="89" ht="22" customHeight="1">
      <c r="B89" s="16">
        <f>IF(C89="","SAM-"&amp;TEXT(COUNTA($C$5:C89),"000"))</f>
        <v/>
      </c>
      <c r="C89" s="11" t="n"/>
      <c r="D89" s="11" t="n"/>
      <c r="E89" s="22" t="n"/>
      <c r="F89" s="22" t="n"/>
      <c r="G89" s="17" t="n"/>
      <c r="H89" s="22" t="n"/>
      <c r="I89" s="30">
        <f>IF(E89="","",ROUND(E89*1000000/130,1))</f>
        <v/>
      </c>
      <c r="J89" s="30">
        <f>IF(E89="","",ROUND(F89*1000000/130,1))</f>
        <v/>
      </c>
    </row>
    <row r="90" ht="22" customHeight="1">
      <c r="B90" s="15">
        <f>IF(C90="","SAM-"&amp;TEXT(COUNTA($C$5:C90),"000"))</f>
        <v/>
      </c>
      <c r="C90" s="13" t="n"/>
      <c r="D90" s="13" t="n"/>
      <c r="E90" s="23" t="n"/>
      <c r="F90" s="23" t="n"/>
      <c r="G90" s="18" t="n"/>
      <c r="H90" s="23" t="n"/>
      <c r="I90" s="31">
        <f>IF(E90="","",ROUND(E90*1000000/130,1))</f>
        <v/>
      </c>
      <c r="J90" s="31">
        <f>IF(E90="","",ROUND(F90*1000000/130,1))</f>
        <v/>
      </c>
    </row>
    <row r="91" ht="22" customHeight="1">
      <c r="B91" s="16">
        <f>IF(C91="","SAM-"&amp;TEXT(COUNTA($C$5:C91),"000"))</f>
        <v/>
      </c>
      <c r="C91" s="11" t="n"/>
      <c r="D91" s="11" t="n"/>
      <c r="E91" s="22" t="n"/>
      <c r="F91" s="22" t="n"/>
      <c r="G91" s="17" t="n"/>
      <c r="H91" s="22" t="n"/>
      <c r="I91" s="30">
        <f>IF(E91="","",ROUND(E91*1000000/130,1))</f>
        <v/>
      </c>
      <c r="J91" s="30">
        <f>IF(E91="","",ROUND(F91*1000000/130,1))</f>
        <v/>
      </c>
    </row>
    <row r="92" ht="22" customHeight="1">
      <c r="B92" s="15">
        <f>IF(C92="","SAM-"&amp;TEXT(COUNTA($C$5:C92),"000"))</f>
        <v/>
      </c>
      <c r="C92" s="13" t="n"/>
      <c r="D92" s="13" t="n"/>
      <c r="E92" s="23" t="n"/>
      <c r="F92" s="23" t="n"/>
      <c r="G92" s="18" t="n"/>
      <c r="H92" s="23" t="n"/>
      <c r="I92" s="31">
        <f>IF(E92="","",ROUND(E92*1000000/130,1))</f>
        <v/>
      </c>
      <c r="J92" s="31">
        <f>IF(E92="","",ROUND(F92*1000000/130,1))</f>
        <v/>
      </c>
    </row>
    <row r="93" ht="22" customHeight="1">
      <c r="B93" s="16">
        <f>IF(C93="","SAM-"&amp;TEXT(COUNTA($C$5:C93),"000"))</f>
        <v/>
      </c>
      <c r="C93" s="11" t="n"/>
      <c r="D93" s="11" t="n"/>
      <c r="E93" s="22" t="n"/>
      <c r="F93" s="22" t="n"/>
      <c r="G93" s="17" t="n"/>
      <c r="H93" s="22" t="n"/>
      <c r="I93" s="30">
        <f>IF(E93="","",ROUND(E93*1000000/130,1))</f>
        <v/>
      </c>
      <c r="J93" s="30">
        <f>IF(E93="","",ROUND(F93*1000000/130,1))</f>
        <v/>
      </c>
    </row>
    <row r="94" ht="22" customHeight="1">
      <c r="B94" s="15">
        <f>IF(C94="","SAM-"&amp;TEXT(COUNTA($C$5:C94),"000"))</f>
        <v/>
      </c>
      <c r="C94" s="13" t="n"/>
      <c r="D94" s="13" t="n"/>
      <c r="E94" s="23" t="n"/>
      <c r="F94" s="23" t="n"/>
      <c r="G94" s="18" t="n"/>
      <c r="H94" s="23" t="n"/>
      <c r="I94" s="31">
        <f>IF(E94="","",ROUND(E94*1000000/130,1))</f>
        <v/>
      </c>
      <c r="J94" s="31">
        <f>IF(E94="","",ROUND(F94*1000000/130,1))</f>
        <v/>
      </c>
    </row>
    <row r="95" ht="22" customHeight="1">
      <c r="B95" s="16">
        <f>IF(C95="","SAM-"&amp;TEXT(COUNTA($C$5:C95),"000"))</f>
        <v/>
      </c>
      <c r="C95" s="11" t="n"/>
      <c r="D95" s="11" t="n"/>
      <c r="E95" s="22" t="n"/>
      <c r="F95" s="22" t="n"/>
      <c r="G95" s="17" t="n"/>
      <c r="H95" s="22" t="n"/>
      <c r="I95" s="30">
        <f>IF(E95="","",ROUND(E95*1000000/130,1))</f>
        <v/>
      </c>
      <c r="J95" s="30">
        <f>IF(E95="","",ROUND(F95*1000000/130,1))</f>
        <v/>
      </c>
    </row>
    <row r="96" ht="22" customHeight="1">
      <c r="B96" s="15">
        <f>IF(C96="","SAM-"&amp;TEXT(COUNTA($C$5:C96),"000"))</f>
        <v/>
      </c>
      <c r="C96" s="13" t="n"/>
      <c r="D96" s="13" t="n"/>
      <c r="E96" s="23" t="n"/>
      <c r="F96" s="23" t="n"/>
      <c r="G96" s="18" t="n"/>
      <c r="H96" s="23" t="n"/>
      <c r="I96" s="31">
        <f>IF(E96="","",ROUND(E96*1000000/130,1))</f>
        <v/>
      </c>
      <c r="J96" s="31">
        <f>IF(E96="","",ROUND(F96*1000000/130,1))</f>
        <v/>
      </c>
    </row>
    <row r="97" ht="22" customHeight="1">
      <c r="B97" s="16">
        <f>IF(C97="","SAM-"&amp;TEXT(COUNTA($C$5:C97),"000"))</f>
        <v/>
      </c>
      <c r="C97" s="11" t="n"/>
      <c r="D97" s="11" t="n"/>
      <c r="E97" s="22" t="n"/>
      <c r="F97" s="22" t="n"/>
      <c r="G97" s="17" t="n"/>
      <c r="H97" s="22" t="n"/>
      <c r="I97" s="30">
        <f>IF(E97="","",ROUND(E97*1000000/130,1))</f>
        <v/>
      </c>
      <c r="J97" s="30">
        <f>IF(E97="","",ROUND(F97*1000000/130,1))</f>
        <v/>
      </c>
    </row>
    <row r="98" ht="22" customHeight="1">
      <c r="B98" s="15">
        <f>IF(C98="","SAM-"&amp;TEXT(COUNTA($C$5:C98),"000"))</f>
        <v/>
      </c>
      <c r="C98" s="13" t="n"/>
      <c r="D98" s="13" t="n"/>
      <c r="E98" s="23" t="n"/>
      <c r="F98" s="23" t="n"/>
      <c r="G98" s="18" t="n"/>
      <c r="H98" s="23" t="n"/>
      <c r="I98" s="31">
        <f>IF(E98="","",ROUND(E98*1000000/130,1))</f>
        <v/>
      </c>
      <c r="J98" s="31">
        <f>IF(E98="","",ROUND(F98*1000000/130,1))</f>
        <v/>
      </c>
    </row>
    <row r="99" ht="22" customHeight="1">
      <c r="B99" s="16">
        <f>IF(C99="","SAM-"&amp;TEXT(COUNTA($C$5:C99),"000"))</f>
        <v/>
      </c>
      <c r="C99" s="11" t="n"/>
      <c r="D99" s="11" t="n"/>
      <c r="E99" s="22" t="n"/>
      <c r="F99" s="22" t="n"/>
      <c r="G99" s="17" t="n"/>
      <c r="H99" s="22" t="n"/>
      <c r="I99" s="30">
        <f>IF(E99="","",ROUND(E99*1000000/130,1))</f>
        <v/>
      </c>
      <c r="J99" s="30">
        <f>IF(E99="","",ROUND(F99*1000000/130,1))</f>
        <v/>
      </c>
    </row>
    <row r="100" ht="22" customHeight="1">
      <c r="B100" s="15">
        <f>IF(C100="","SAM-"&amp;TEXT(COUNTA($C$5:C100),"000"))</f>
        <v/>
      </c>
      <c r="C100" s="13" t="n"/>
      <c r="D100" s="13" t="n"/>
      <c r="E100" s="23" t="n"/>
      <c r="F100" s="23" t="n"/>
      <c r="G100" s="18" t="n"/>
      <c r="H100" s="23" t="n"/>
      <c r="I100" s="31">
        <f>IF(E100="","",ROUND(E100*1000000/130,1))</f>
        <v/>
      </c>
      <c r="J100" s="31">
        <f>IF(E100="","",ROUND(F100*1000000/130,1))</f>
        <v/>
      </c>
    </row>
    <row r="101" ht="22" customHeight="1">
      <c r="B101" s="16">
        <f>IF(C101="","SAM-"&amp;TEXT(COUNTA($C$5:C101),"000"))</f>
        <v/>
      </c>
      <c r="C101" s="11" t="n"/>
      <c r="D101" s="11" t="n"/>
      <c r="E101" s="22" t="n"/>
      <c r="F101" s="22" t="n"/>
      <c r="G101" s="17" t="n"/>
      <c r="H101" s="22" t="n"/>
      <c r="I101" s="30">
        <f>IF(E101="","",ROUND(E101*1000000/130,1))</f>
        <v/>
      </c>
      <c r="J101" s="30">
        <f>IF(E101="","",ROUND(F101*1000000/130,1))</f>
        <v/>
      </c>
    </row>
    <row r="102" ht="22" customHeight="1">
      <c r="B102" s="15">
        <f>IF(C102="","SAM-"&amp;TEXT(COUNTA($C$5:C102),"000"))</f>
        <v/>
      </c>
      <c r="C102" s="13" t="n"/>
      <c r="D102" s="13" t="n"/>
      <c r="E102" s="23" t="n"/>
      <c r="F102" s="23" t="n"/>
      <c r="G102" s="18" t="n"/>
      <c r="H102" s="23" t="n"/>
      <c r="I102" s="31">
        <f>IF(E102="","",ROUND(E102*1000000/130,1))</f>
        <v/>
      </c>
      <c r="J102" s="31">
        <f>IF(E102="","",ROUND(F102*1000000/130,1))</f>
        <v/>
      </c>
    </row>
    <row r="103" ht="22" customHeight="1">
      <c r="B103" s="16">
        <f>IF(C103="","SAM-"&amp;TEXT(COUNTA($C$5:C103),"000"))</f>
        <v/>
      </c>
      <c r="C103" s="11" t="n"/>
      <c r="D103" s="11" t="n"/>
      <c r="E103" s="22" t="n"/>
      <c r="F103" s="22" t="n"/>
      <c r="G103" s="17" t="n"/>
      <c r="H103" s="22" t="n"/>
      <c r="I103" s="30">
        <f>IF(E103="","",ROUND(E103*1000000/130,1))</f>
        <v/>
      </c>
      <c r="J103" s="30">
        <f>IF(E103="","",ROUND(F103*1000000/130,1))</f>
        <v/>
      </c>
    </row>
    <row r="104" ht="22" customHeight="1">
      <c r="B104" s="15">
        <f>IF(C104="","SAM-"&amp;TEXT(COUNTA($C$5:C104),"000"))</f>
        <v/>
      </c>
      <c r="C104" s="13" t="n"/>
      <c r="D104" s="13" t="n"/>
      <c r="E104" s="23" t="n"/>
      <c r="F104" s="23" t="n"/>
      <c r="G104" s="18" t="n"/>
      <c r="H104" s="23" t="n"/>
      <c r="I104" s="31">
        <f>IF(E104="","",ROUND(E104*1000000/130,1))</f>
        <v/>
      </c>
      <c r="J104" s="31">
        <f>IF(E104="","",ROUND(F104*1000000/130,1))</f>
        <v/>
      </c>
    </row>
    <row r="105" ht="22" customHeight="1">
      <c r="B105" s="16">
        <f>IF(C105="","SAM-"&amp;TEXT(COUNTA($C$5:C105),"000"))</f>
        <v/>
      </c>
      <c r="C105" s="11" t="n"/>
      <c r="D105" s="11" t="n"/>
      <c r="E105" s="22" t="n"/>
      <c r="F105" s="22" t="n"/>
      <c r="G105" s="17" t="n"/>
      <c r="H105" s="22" t="n"/>
      <c r="I105" s="30">
        <f>IF(E105="","",ROUND(E105*1000000/130,1))</f>
        <v/>
      </c>
      <c r="J105" s="30">
        <f>IF(E105="","",ROUND(F105*1000000/130,1))</f>
        <v/>
      </c>
    </row>
    <row r="106" ht="22" customHeight="1">
      <c r="B106" s="15">
        <f>IF(C106="","SAM-"&amp;TEXT(COUNTA($C$5:C106),"000"))</f>
        <v/>
      </c>
      <c r="C106" s="13" t="n"/>
      <c r="D106" s="13" t="n"/>
      <c r="E106" s="23" t="n"/>
      <c r="F106" s="23" t="n"/>
      <c r="G106" s="18" t="n"/>
      <c r="H106" s="23" t="n"/>
      <c r="I106" s="31">
        <f>IF(E106="","",ROUND(E106*1000000/130,1))</f>
        <v/>
      </c>
      <c r="J106" s="31">
        <f>IF(E106="","",ROUND(F106*1000000/130,1))</f>
        <v/>
      </c>
    </row>
    <row r="107" ht="22" customHeight="1">
      <c r="B107" s="16">
        <f>IF(C107="","SAM-"&amp;TEXT(COUNTA($C$5:C107),"000"))</f>
        <v/>
      </c>
      <c r="C107" s="11" t="n"/>
      <c r="D107" s="11" t="n"/>
      <c r="E107" s="22" t="n"/>
      <c r="F107" s="22" t="n"/>
      <c r="G107" s="17" t="n"/>
      <c r="H107" s="22" t="n"/>
      <c r="I107" s="30">
        <f>IF(E107="","",ROUND(E107*1000000/130,1))</f>
        <v/>
      </c>
      <c r="J107" s="30">
        <f>IF(E107="","",ROUND(F107*1000000/130,1))</f>
        <v/>
      </c>
    </row>
    <row r="108" ht="22" customHeight="1">
      <c r="B108" s="15">
        <f>IF(C108="","SAM-"&amp;TEXT(COUNTA($C$5:C108),"000"))</f>
        <v/>
      </c>
      <c r="C108" s="13" t="n"/>
      <c r="D108" s="13" t="n"/>
      <c r="E108" s="23" t="n"/>
      <c r="F108" s="23" t="n"/>
      <c r="G108" s="18" t="n"/>
      <c r="H108" s="23" t="n"/>
      <c r="I108" s="31">
        <f>IF(E108="","",ROUND(E108*1000000/130,1))</f>
        <v/>
      </c>
      <c r="J108" s="31">
        <f>IF(E108="","",ROUND(F108*1000000/130,1))</f>
        <v/>
      </c>
    </row>
    <row r="109" ht="22" customHeight="1">
      <c r="B109" s="16">
        <f>IF(C109="","SAM-"&amp;TEXT(COUNTA($C$5:C109),"000"))</f>
        <v/>
      </c>
      <c r="C109" s="11" t="n"/>
      <c r="D109" s="11" t="n"/>
      <c r="E109" s="22" t="n"/>
      <c r="F109" s="22" t="n"/>
      <c r="G109" s="17" t="n"/>
      <c r="H109" s="22" t="n"/>
      <c r="I109" s="30">
        <f>IF(E109="","",ROUND(E109*1000000/130,1))</f>
        <v/>
      </c>
      <c r="J109" s="30">
        <f>IF(E109="","",ROUND(F109*1000000/130,1))</f>
        <v/>
      </c>
    </row>
    <row r="110" ht="22" customHeight="1">
      <c r="B110" s="15">
        <f>IF(C110="","SAM-"&amp;TEXT(COUNTA($C$5:C110),"000"))</f>
        <v/>
      </c>
      <c r="C110" s="13" t="n"/>
      <c r="D110" s="13" t="n"/>
      <c r="E110" s="23" t="n"/>
      <c r="F110" s="23" t="n"/>
      <c r="G110" s="18" t="n"/>
      <c r="H110" s="23" t="n"/>
      <c r="I110" s="31">
        <f>IF(E110="","",ROUND(E110*1000000/130,1))</f>
        <v/>
      </c>
      <c r="J110" s="31">
        <f>IF(E110="","",ROUND(F110*1000000/130,1))</f>
        <v/>
      </c>
    </row>
    <row r="111"/>
    <row r="112" ht="26" customHeight="1">
      <c r="B112" s="19" t="inlineStr">
        <is>
          <t>TOTAL</t>
        </is>
      </c>
      <c r="C112" s="20" t="n"/>
      <c r="D112" s="20" t="n"/>
      <c r="E112" s="21">
        <f>SUM(E5:E104)</f>
        <v/>
      </c>
      <c r="F112" s="21">
        <f>SUM(F5:F104)</f>
        <v/>
      </c>
      <c r="G112" s="21">
        <f>SUM(G5:G104)</f>
        <v/>
      </c>
      <c r="H112" s="21">
        <f>SUM(H5:H104)</f>
        <v/>
      </c>
      <c r="I112" s="20" t="n"/>
      <c r="J112" s="20" t="n"/>
    </row>
    <row r="113"/>
    <row r="114">
      <c r="B114" s="5" t="inlineStr">
        <is>
          <t>INDICATEURS (mis a jour automatiquement)</t>
        </is>
      </c>
    </row>
    <row r="115">
      <c r="B115" s="3" t="inlineStr">
        <is>
          <t>Mois suivis</t>
        </is>
      </c>
      <c r="D115" s="3" t="inlineStr">
        <is>
          <t>Total accidents</t>
        </is>
      </c>
      <c r="F115" s="3" t="inlineStr">
        <is>
          <t>Total jours arret</t>
        </is>
      </c>
      <c r="H115" s="3" t="inlineStr">
        <is>
          <t>Cout total (FCFA)</t>
        </is>
      </c>
    </row>
    <row r="116">
      <c r="B116" s="4">
        <f>COUNTIF(B5:B104,"&lt;&gt;")</f>
        <v/>
      </c>
      <c r="D116" s="4">
        <f>SUM(E5:E104)</f>
        <v/>
      </c>
      <c r="F116" s="4">
        <f>SUM(F5:F104)</f>
        <v/>
      </c>
      <c r="H116" s="4">
        <f>SUM(G5:G104)</f>
        <v/>
      </c>
    </row>
  </sheetData>
  <mergeCells count="3">
    <mergeCell ref="B3:J3"/>
    <mergeCell ref="B2:J2"/>
    <mergeCell ref="B114:J114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'_Lists'!$V$2:$V$13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'_Lists'!$W$2:$W$4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0" customWidth="1" min="4" max="4"/>
    <col width="14" customWidth="1" min="5" max="5"/>
    <col width="16" customWidth="1" min="6" max="6"/>
    <col width="12" customWidth="1" min="7" max="7"/>
    <col width="14" customWidth="1" min="8" max="8"/>
    <col width="40" customWidth="1" min="9" max="9"/>
  </cols>
  <sheetData>
    <row r="1" ht="15" customHeight="1"/>
    <row r="2" ht="32" customHeight="1">
      <c r="B2" s="1" t="inlineStr">
        <is>
          <t>INDICATEURS SANTE &amp; SECURITE AU TRAVAIL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Indicateur</t>
        </is>
      </c>
      <c r="D4" s="10" t="inlineStr">
        <is>
          <t>Annee</t>
        </is>
      </c>
      <c r="E4" s="10" t="inlineStr">
        <is>
          <t>Objectif</t>
        </is>
      </c>
      <c r="F4" s="10" t="inlineStr">
        <is>
          <t>Resultat Reel</t>
        </is>
      </c>
      <c r="G4" s="10" t="inlineStr">
        <is>
          <t>Ecart</t>
        </is>
      </c>
      <c r="H4" s="10" t="inlineStr">
        <is>
          <t>Tendance</t>
        </is>
      </c>
      <c r="I4" s="10" t="inlineStr">
        <is>
          <t>Commentaire</t>
        </is>
      </c>
    </row>
    <row r="5" ht="22" customHeight="1">
      <c r="B5" s="11" t="inlineStr">
        <is>
          <t>ISST-001</t>
        </is>
      </c>
      <c r="C5" s="11" t="inlineStr">
        <is>
          <t>Taux frequence AT (pour 1M h)</t>
        </is>
      </c>
      <c r="D5" s="11" t="inlineStr">
        <is>
          <t>2025</t>
        </is>
      </c>
      <c r="E5" s="30" t="n">
        <v>1</v>
      </c>
      <c r="F5" s="30" t="n">
        <v>5.8</v>
      </c>
      <c r="G5" s="30">
        <f>IFERROR(F5-E5,0)</f>
        <v/>
      </c>
      <c r="H5" s="11" t="inlineStr">
        <is>
          <t>En hausse</t>
        </is>
      </c>
      <c r="I5" s="11" t="inlineStr">
        <is>
          <t>Accident juin a tire le taux vers le haut</t>
        </is>
      </c>
    </row>
    <row r="6" ht="22" customHeight="1">
      <c r="B6" s="13" t="inlineStr">
        <is>
          <t>ISST-002</t>
        </is>
      </c>
      <c r="C6" s="13" t="inlineStr">
        <is>
          <t>Taux gravite AT</t>
        </is>
      </c>
      <c r="D6" s="13" t="inlineStr">
        <is>
          <t>2025</t>
        </is>
      </c>
      <c r="E6" s="31" t="n">
        <v>10</v>
      </c>
      <c r="F6" s="31" t="n">
        <v>54.4</v>
      </c>
      <c r="G6" s="31">
        <f>IFERROR(F6-E6,0)</f>
        <v/>
      </c>
      <c r="H6" s="13" t="inlineStr">
        <is>
          <t>En hausse</t>
        </is>
      </c>
      <c r="I6" s="13" t="inlineStr">
        <is>
          <t>Un AT grave en juin (45j arret)</t>
        </is>
      </c>
    </row>
    <row r="7" ht="22" customHeight="1">
      <c r="B7" s="11" t="inlineStr">
        <is>
          <t>ISST-003</t>
        </is>
      </c>
      <c r="C7" s="11" t="inlineStr">
        <is>
          <t>Nb accidents avec arret</t>
        </is>
      </c>
      <c r="D7" s="11" t="inlineStr">
        <is>
          <t>2025</t>
        </is>
      </c>
      <c r="E7" s="30" t="n">
        <v>2</v>
      </c>
      <c r="F7" s="30" t="n">
        <v>4</v>
      </c>
      <c r="G7" s="30">
        <f>IFERROR(F7-E7,0)</f>
        <v/>
      </c>
      <c r="H7" s="11" t="inlineStr">
        <is>
          <t>En hausse</t>
        </is>
      </c>
      <c r="I7" s="11" t="inlineStr">
        <is>
          <t>Objectif depasse en 6 mois</t>
        </is>
      </c>
    </row>
    <row r="8" ht="22" customHeight="1">
      <c r="B8" s="13" t="inlineStr">
        <is>
          <t>ISST-004</t>
        </is>
      </c>
      <c r="C8" s="13" t="inlineStr">
        <is>
          <t>Taux formation securite (%)</t>
        </is>
      </c>
      <c r="D8" s="13" t="inlineStr">
        <is>
          <t>2025</t>
        </is>
      </c>
      <c r="E8" s="31" t="n">
        <v>80</v>
      </c>
      <c r="F8" s="31" t="n">
        <v>65</v>
      </c>
      <c r="G8" s="31">
        <f>IFERROR(F8-E8,0)</f>
        <v/>
      </c>
      <c r="H8" s="13" t="inlineStr">
        <is>
          <t>En hausse</t>
        </is>
      </c>
      <c r="I8" s="13" t="inlineStr">
        <is>
          <t>Formation hauteur en retard</t>
        </is>
      </c>
    </row>
    <row r="9" ht="22" customHeight="1">
      <c r="B9" s="11" t="inlineStr">
        <is>
          <t>ISST-005</t>
        </is>
      </c>
      <c r="C9" s="11" t="inlineStr">
        <is>
          <t>Nb audits realises / prevus</t>
        </is>
      </c>
      <c r="D9" s="11" t="inlineStr">
        <is>
          <t>2025</t>
        </is>
      </c>
      <c r="E9" s="30" t="n">
        <v>4</v>
      </c>
      <c r="F9" s="30" t="n">
        <v>4</v>
      </c>
      <c r="G9" s="30">
        <f>IFERROR(F9-E9,0)</f>
        <v/>
      </c>
      <c r="H9" s="11" t="inlineStr">
        <is>
          <t>Atteint</t>
        </is>
      </c>
      <c r="I9" s="11" t="inlineStr">
        <is>
          <t>Objectif semestriel atteint</t>
        </is>
      </c>
    </row>
    <row r="10" ht="22" customHeight="1">
      <c r="B10" s="13" t="inlineStr">
        <is>
          <t>ISST-006</t>
        </is>
      </c>
      <c r="C10" s="13" t="inlineStr">
        <is>
          <t>Delai traitement AT (j)</t>
        </is>
      </c>
      <c r="D10" s="13" t="inlineStr">
        <is>
          <t>2025</t>
        </is>
      </c>
      <c r="E10" s="31" t="n">
        <v>3</v>
      </c>
      <c r="F10" s="31" t="n">
        <v>5.6</v>
      </c>
      <c r="G10" s="31">
        <f>IFERROR(F10-E10,0)</f>
        <v/>
      </c>
      <c r="H10" s="13" t="inlineStr">
        <is>
          <t>En baisse</t>
        </is>
      </c>
      <c r="I10" s="13" t="inlineStr">
        <is>
          <t>Retard declaration CNPS juin</t>
        </is>
      </c>
    </row>
    <row r="11" ht="22" customHeight="1">
      <c r="B11" s="11" t="inlineStr">
        <is>
          <t>ISST-007</t>
        </is>
      </c>
      <c r="C11" s="11" t="inlineStr">
        <is>
          <t>Conformite EPI (%)</t>
        </is>
      </c>
      <c r="D11" s="11" t="inlineStr">
        <is>
          <t>2025</t>
        </is>
      </c>
      <c r="E11" s="30" t="n">
        <v>95</v>
      </c>
      <c r="F11" s="30" t="n">
        <v>88</v>
      </c>
      <c r="G11" s="30">
        <f>IFERROR(F11-E11,0)</f>
        <v/>
      </c>
      <c r="H11" s="11" t="inlineStr">
        <is>
          <t>En hausse</t>
        </is>
      </c>
      <c r="I11" s="11" t="inlineStr">
        <is>
          <t>Harnais a remplacer depuis mars</t>
        </is>
      </c>
    </row>
    <row r="12" ht="22" customHeight="1">
      <c r="B12" s="15">
        <f>IF(C12="","ISST-"&amp;TEXT(COUNTA($C$5:C12),"000"))</f>
        <v/>
      </c>
      <c r="C12" s="13" t="n"/>
      <c r="D12" s="13" t="n"/>
      <c r="E12" s="31" t="n"/>
      <c r="F12" s="31" t="n"/>
      <c r="G12" s="31">
        <f>IF(F12="","",IF(E12="","",ROUND(F12-E12,1)))</f>
        <v/>
      </c>
      <c r="H12" s="13" t="n"/>
      <c r="I12" s="13" t="n"/>
    </row>
    <row r="13" ht="22" customHeight="1">
      <c r="B13" s="16">
        <f>IF(C13="","ISST-"&amp;TEXT(COUNTA($C$5:C13),"000"))</f>
        <v/>
      </c>
      <c r="C13" s="11" t="n"/>
      <c r="D13" s="11" t="n"/>
      <c r="E13" s="30" t="n"/>
      <c r="F13" s="30" t="n"/>
      <c r="G13" s="30">
        <f>IF(F13="","",IF(E13="","",ROUND(F13-E13,1)))</f>
        <v/>
      </c>
      <c r="H13" s="11" t="n"/>
      <c r="I13" s="11" t="n"/>
    </row>
    <row r="14" ht="22" customHeight="1">
      <c r="B14" s="15">
        <f>IF(C14="","ISST-"&amp;TEXT(COUNTA($C$5:C14),"000"))</f>
        <v/>
      </c>
      <c r="C14" s="13" t="n"/>
      <c r="D14" s="13" t="n"/>
      <c r="E14" s="31" t="n"/>
      <c r="F14" s="31" t="n"/>
      <c r="G14" s="31">
        <f>IF(F14="","",IF(E14="","",ROUND(F14-E14,1)))</f>
        <v/>
      </c>
      <c r="H14" s="13" t="n"/>
      <c r="I14" s="13" t="n"/>
    </row>
    <row r="15" ht="22" customHeight="1">
      <c r="B15" s="16">
        <f>IF(C15="","ISST-"&amp;TEXT(COUNTA($C$5:C15),"000"))</f>
        <v/>
      </c>
      <c r="C15" s="11" t="n"/>
      <c r="D15" s="11" t="n"/>
      <c r="E15" s="30" t="n"/>
      <c r="F15" s="30" t="n"/>
      <c r="G15" s="30">
        <f>IF(F15="","",IF(E15="","",ROUND(F15-E15,1)))</f>
        <v/>
      </c>
      <c r="H15" s="11" t="n"/>
      <c r="I15" s="11" t="n"/>
    </row>
    <row r="16" ht="22" customHeight="1">
      <c r="B16" s="15">
        <f>IF(C16="","ISST-"&amp;TEXT(COUNTA($C$5:C16),"000"))</f>
        <v/>
      </c>
      <c r="C16" s="13" t="n"/>
      <c r="D16" s="13" t="n"/>
      <c r="E16" s="31" t="n"/>
      <c r="F16" s="31" t="n"/>
      <c r="G16" s="31">
        <f>IF(F16="","",IF(E16="","",ROUND(F16-E16,1)))</f>
        <v/>
      </c>
      <c r="H16" s="13" t="n"/>
      <c r="I16" s="13" t="n"/>
    </row>
    <row r="17" ht="22" customHeight="1">
      <c r="B17" s="16">
        <f>IF(C17="","ISST-"&amp;TEXT(COUNTA($C$5:C17),"000"))</f>
        <v/>
      </c>
      <c r="C17" s="11" t="n"/>
      <c r="D17" s="11" t="n"/>
      <c r="E17" s="30" t="n"/>
      <c r="F17" s="30" t="n"/>
      <c r="G17" s="30">
        <f>IF(F17="","",IF(E17="","",ROUND(F17-E17,1)))</f>
        <v/>
      </c>
      <c r="H17" s="11" t="n"/>
      <c r="I17" s="11" t="n"/>
    </row>
    <row r="18" ht="22" customHeight="1">
      <c r="B18" s="15">
        <f>IF(C18="","ISST-"&amp;TEXT(COUNTA($C$5:C18),"000"))</f>
        <v/>
      </c>
      <c r="C18" s="13" t="n"/>
      <c r="D18" s="13" t="n"/>
      <c r="E18" s="31" t="n"/>
      <c r="F18" s="31" t="n"/>
      <c r="G18" s="31">
        <f>IF(F18="","",IF(E18="","",ROUND(F18-E18,1)))</f>
        <v/>
      </c>
      <c r="H18" s="13" t="n"/>
      <c r="I18" s="13" t="n"/>
    </row>
    <row r="19" ht="22" customHeight="1">
      <c r="B19" s="16">
        <f>IF(C19="","ISST-"&amp;TEXT(COUNTA($C$5:C19),"000"))</f>
        <v/>
      </c>
      <c r="C19" s="11" t="n"/>
      <c r="D19" s="11" t="n"/>
      <c r="E19" s="30" t="n"/>
      <c r="F19" s="30" t="n"/>
      <c r="G19" s="30">
        <f>IF(F19="","",IF(E19="","",ROUND(F19-E19,1)))</f>
        <v/>
      </c>
      <c r="H19" s="11" t="n"/>
      <c r="I19" s="11" t="n"/>
    </row>
    <row r="20" ht="22" customHeight="1">
      <c r="B20" s="15">
        <f>IF(C20="","ISST-"&amp;TEXT(COUNTA($C$5:C20),"000"))</f>
        <v/>
      </c>
      <c r="C20" s="13" t="n"/>
      <c r="D20" s="13" t="n"/>
      <c r="E20" s="31" t="n"/>
      <c r="F20" s="31" t="n"/>
      <c r="G20" s="31">
        <f>IF(F20="","",IF(E20="","",ROUND(F20-E20,1)))</f>
        <v/>
      </c>
      <c r="H20" s="13" t="n"/>
      <c r="I20" s="13" t="n"/>
    </row>
    <row r="21" ht="22" customHeight="1">
      <c r="B21" s="16">
        <f>IF(C21="","ISST-"&amp;TEXT(COUNTA($C$5:C21),"000"))</f>
        <v/>
      </c>
      <c r="C21" s="11" t="n"/>
      <c r="D21" s="11" t="n"/>
      <c r="E21" s="30" t="n"/>
      <c r="F21" s="30" t="n"/>
      <c r="G21" s="30">
        <f>IF(F21="","",IF(E21="","",ROUND(F21-E21,1)))</f>
        <v/>
      </c>
      <c r="H21" s="11" t="n"/>
      <c r="I21" s="11" t="n"/>
    </row>
    <row r="22" ht="22" customHeight="1">
      <c r="B22" s="15">
        <f>IF(C22="","ISST-"&amp;TEXT(COUNTA($C$5:C22),"000"))</f>
        <v/>
      </c>
      <c r="C22" s="13" t="n"/>
      <c r="D22" s="13" t="n"/>
      <c r="E22" s="31" t="n"/>
      <c r="F22" s="31" t="n"/>
      <c r="G22" s="31">
        <f>IF(F22="","",IF(E22="","",ROUND(F22-E22,1)))</f>
        <v/>
      </c>
      <c r="H22" s="13" t="n"/>
      <c r="I22" s="13" t="n"/>
    </row>
    <row r="23" ht="22" customHeight="1">
      <c r="B23" s="16">
        <f>IF(C23="","ISST-"&amp;TEXT(COUNTA($C$5:C23),"000"))</f>
        <v/>
      </c>
      <c r="C23" s="11" t="n"/>
      <c r="D23" s="11" t="n"/>
      <c r="E23" s="30" t="n"/>
      <c r="F23" s="30" t="n"/>
      <c r="G23" s="30">
        <f>IF(F23="","",IF(E23="","",ROUND(F23-E23,1)))</f>
        <v/>
      </c>
      <c r="H23" s="11" t="n"/>
      <c r="I23" s="11" t="n"/>
    </row>
    <row r="24" ht="22" customHeight="1">
      <c r="B24" s="15">
        <f>IF(C24="","ISST-"&amp;TEXT(COUNTA($C$5:C24),"000"))</f>
        <v/>
      </c>
      <c r="C24" s="13" t="n"/>
      <c r="D24" s="13" t="n"/>
      <c r="E24" s="31" t="n"/>
      <c r="F24" s="31" t="n"/>
      <c r="G24" s="31">
        <f>IF(F24="","",IF(E24="","",ROUND(F24-E24,1)))</f>
        <v/>
      </c>
      <c r="H24" s="13" t="n"/>
      <c r="I24" s="13" t="n"/>
    </row>
    <row r="25" ht="22" customHeight="1">
      <c r="B25" s="16">
        <f>IF(C25="","ISST-"&amp;TEXT(COUNTA($C$5:C25),"000"))</f>
        <v/>
      </c>
      <c r="C25" s="11" t="n"/>
      <c r="D25" s="11" t="n"/>
      <c r="E25" s="30" t="n"/>
      <c r="F25" s="30" t="n"/>
      <c r="G25" s="30">
        <f>IF(F25="","",IF(E25="","",ROUND(F25-E25,1)))</f>
        <v/>
      </c>
      <c r="H25" s="11" t="n"/>
      <c r="I25" s="11" t="n"/>
    </row>
    <row r="26" ht="22" customHeight="1">
      <c r="B26" s="15">
        <f>IF(C26="","ISST-"&amp;TEXT(COUNTA($C$5:C26),"000"))</f>
        <v/>
      </c>
      <c r="C26" s="13" t="n"/>
      <c r="D26" s="13" t="n"/>
      <c r="E26" s="31" t="n"/>
      <c r="F26" s="31" t="n"/>
      <c r="G26" s="31">
        <f>IF(F26="","",IF(E26="","",ROUND(F26-E26,1)))</f>
        <v/>
      </c>
      <c r="H26" s="13" t="n"/>
      <c r="I26" s="13" t="n"/>
    </row>
    <row r="27" ht="22" customHeight="1">
      <c r="B27" s="16">
        <f>IF(C27="","ISST-"&amp;TEXT(COUNTA($C$5:C27),"000"))</f>
        <v/>
      </c>
      <c r="C27" s="11" t="n"/>
      <c r="D27" s="11" t="n"/>
      <c r="E27" s="30" t="n"/>
      <c r="F27" s="30" t="n"/>
      <c r="G27" s="30">
        <f>IF(F27="","",IF(E27="","",ROUND(F27-E27,1)))</f>
        <v/>
      </c>
      <c r="H27" s="11" t="n"/>
      <c r="I27" s="11" t="n"/>
    </row>
    <row r="28" ht="22" customHeight="1">
      <c r="B28" s="15">
        <f>IF(C28="","ISST-"&amp;TEXT(COUNTA($C$5:C28),"000"))</f>
        <v/>
      </c>
      <c r="C28" s="13" t="n"/>
      <c r="D28" s="13" t="n"/>
      <c r="E28" s="31" t="n"/>
      <c r="F28" s="31" t="n"/>
      <c r="G28" s="31">
        <f>IF(F28="","",IF(E28="","",ROUND(F28-E28,1)))</f>
        <v/>
      </c>
      <c r="H28" s="13" t="n"/>
      <c r="I28" s="13" t="n"/>
    </row>
    <row r="29" ht="22" customHeight="1">
      <c r="B29" s="16">
        <f>IF(C29="","ISST-"&amp;TEXT(COUNTA($C$5:C29),"000"))</f>
        <v/>
      </c>
      <c r="C29" s="11" t="n"/>
      <c r="D29" s="11" t="n"/>
      <c r="E29" s="30" t="n"/>
      <c r="F29" s="30" t="n"/>
      <c r="G29" s="30">
        <f>IF(F29="","",IF(E29="","",ROUND(F29-E29,1)))</f>
        <v/>
      </c>
      <c r="H29" s="11" t="n"/>
      <c r="I29" s="11" t="n"/>
    </row>
    <row r="30" ht="22" customHeight="1">
      <c r="B30" s="15">
        <f>IF(C30="","ISST-"&amp;TEXT(COUNTA($C$5:C30),"000"))</f>
        <v/>
      </c>
      <c r="C30" s="13" t="n"/>
      <c r="D30" s="13" t="n"/>
      <c r="E30" s="31" t="n"/>
      <c r="F30" s="31" t="n"/>
      <c r="G30" s="31">
        <f>IF(F30="","",IF(E30="","",ROUND(F30-E30,1)))</f>
        <v/>
      </c>
      <c r="H30" s="13" t="n"/>
      <c r="I30" s="13" t="n"/>
    </row>
    <row r="31" ht="22" customHeight="1">
      <c r="B31" s="16">
        <f>IF(C31="","ISST-"&amp;TEXT(COUNTA($C$5:C31),"000"))</f>
        <v/>
      </c>
      <c r="C31" s="11" t="n"/>
      <c r="D31" s="11" t="n"/>
      <c r="E31" s="30" t="n"/>
      <c r="F31" s="30" t="n"/>
      <c r="G31" s="30">
        <f>IF(F31="","",IF(E31="","",ROUND(F31-E31,1)))</f>
        <v/>
      </c>
      <c r="H31" s="11" t="n"/>
      <c r="I31" s="11" t="n"/>
    </row>
    <row r="32" ht="22" customHeight="1">
      <c r="B32" s="15">
        <f>IF(C32="","ISST-"&amp;TEXT(COUNTA($C$5:C32),"000"))</f>
        <v/>
      </c>
      <c r="C32" s="13" t="n"/>
      <c r="D32" s="13" t="n"/>
      <c r="E32" s="31" t="n"/>
      <c r="F32" s="31" t="n"/>
      <c r="G32" s="31">
        <f>IF(F32="","",IF(E32="","",ROUND(F32-E32,1)))</f>
        <v/>
      </c>
      <c r="H32" s="13" t="n"/>
      <c r="I32" s="13" t="n"/>
    </row>
    <row r="33" ht="22" customHeight="1">
      <c r="B33" s="16">
        <f>IF(C33="","ISST-"&amp;TEXT(COUNTA($C$5:C33),"000"))</f>
        <v/>
      </c>
      <c r="C33" s="11" t="n"/>
      <c r="D33" s="11" t="n"/>
      <c r="E33" s="30" t="n"/>
      <c r="F33" s="30" t="n"/>
      <c r="G33" s="30">
        <f>IF(F33="","",IF(E33="","",ROUND(F33-E33,1)))</f>
        <v/>
      </c>
      <c r="H33" s="11" t="n"/>
      <c r="I33" s="11" t="n"/>
    </row>
    <row r="34" ht="22" customHeight="1">
      <c r="B34" s="15">
        <f>IF(C34="","ISST-"&amp;TEXT(COUNTA($C$5:C34),"000"))</f>
        <v/>
      </c>
      <c r="C34" s="13" t="n"/>
      <c r="D34" s="13" t="n"/>
      <c r="E34" s="31" t="n"/>
      <c r="F34" s="31" t="n"/>
      <c r="G34" s="31">
        <f>IF(F34="","",IF(E34="","",ROUND(F34-E34,1)))</f>
        <v/>
      </c>
      <c r="H34" s="13" t="n"/>
      <c r="I34" s="13" t="n"/>
    </row>
    <row r="35" ht="22" customHeight="1">
      <c r="B35" s="16">
        <f>IF(C35="","ISST-"&amp;TEXT(COUNTA($C$5:C35),"000"))</f>
        <v/>
      </c>
      <c r="C35" s="11" t="n"/>
      <c r="D35" s="11" t="n"/>
      <c r="E35" s="30" t="n"/>
      <c r="F35" s="30" t="n"/>
      <c r="G35" s="30">
        <f>IF(F35="","",IF(E35="","",ROUND(F35-E35,1)))</f>
        <v/>
      </c>
      <c r="H35" s="11" t="n"/>
      <c r="I35" s="11" t="n"/>
    </row>
    <row r="36" ht="22" customHeight="1">
      <c r="B36" s="15">
        <f>IF(C36="","ISST-"&amp;TEXT(COUNTA($C$5:C36),"000"))</f>
        <v/>
      </c>
      <c r="C36" s="13" t="n"/>
      <c r="D36" s="13" t="n"/>
      <c r="E36" s="31" t="n"/>
      <c r="F36" s="31" t="n"/>
      <c r="G36" s="31">
        <f>IF(F36="","",IF(E36="","",ROUND(F36-E36,1)))</f>
        <v/>
      </c>
      <c r="H36" s="13" t="n"/>
      <c r="I36" s="13" t="n"/>
    </row>
    <row r="37" ht="22" customHeight="1">
      <c r="B37" s="16">
        <f>IF(C37="","ISST-"&amp;TEXT(COUNTA($C$5:C37),"000"))</f>
        <v/>
      </c>
      <c r="C37" s="11" t="n"/>
      <c r="D37" s="11" t="n"/>
      <c r="E37" s="30" t="n"/>
      <c r="F37" s="30" t="n"/>
      <c r="G37" s="30">
        <f>IF(F37="","",IF(E37="","",ROUND(F37-E37,1)))</f>
        <v/>
      </c>
      <c r="H37" s="11" t="n"/>
      <c r="I37" s="11" t="n"/>
    </row>
    <row r="38" ht="22" customHeight="1">
      <c r="B38" s="15">
        <f>IF(C38="","ISST-"&amp;TEXT(COUNTA($C$5:C38),"000"))</f>
        <v/>
      </c>
      <c r="C38" s="13" t="n"/>
      <c r="D38" s="13" t="n"/>
      <c r="E38" s="31" t="n"/>
      <c r="F38" s="31" t="n"/>
      <c r="G38" s="31">
        <f>IF(F38="","",IF(E38="","",ROUND(F38-E38,1)))</f>
        <v/>
      </c>
      <c r="H38" s="13" t="n"/>
      <c r="I38" s="13" t="n"/>
    </row>
    <row r="39" ht="22" customHeight="1">
      <c r="B39" s="16">
        <f>IF(C39="","ISST-"&amp;TEXT(COUNTA($C$5:C39),"000"))</f>
        <v/>
      </c>
      <c r="C39" s="11" t="n"/>
      <c r="D39" s="11" t="n"/>
      <c r="E39" s="30" t="n"/>
      <c r="F39" s="30" t="n"/>
      <c r="G39" s="30">
        <f>IF(F39="","",IF(E39="","",ROUND(F39-E39,1)))</f>
        <v/>
      </c>
      <c r="H39" s="11" t="n"/>
      <c r="I39" s="11" t="n"/>
    </row>
    <row r="40" ht="22" customHeight="1">
      <c r="B40" s="15">
        <f>IF(C40="","ISST-"&amp;TEXT(COUNTA($C$5:C40),"000"))</f>
        <v/>
      </c>
      <c r="C40" s="13" t="n"/>
      <c r="D40" s="13" t="n"/>
      <c r="E40" s="31" t="n"/>
      <c r="F40" s="31" t="n"/>
      <c r="G40" s="31">
        <f>IF(F40="","",IF(E40="","",ROUND(F40-E40,1)))</f>
        <v/>
      </c>
      <c r="H40" s="13" t="n"/>
      <c r="I40" s="13" t="n"/>
    </row>
    <row r="41" ht="22" customHeight="1">
      <c r="B41" s="16">
        <f>IF(C41="","ISST-"&amp;TEXT(COUNTA($C$5:C41),"000"))</f>
        <v/>
      </c>
      <c r="C41" s="11" t="n"/>
      <c r="D41" s="11" t="n"/>
      <c r="E41" s="30" t="n"/>
      <c r="F41" s="30" t="n"/>
      <c r="G41" s="30">
        <f>IF(F41="","",IF(E41="","",ROUND(F41-E41,1)))</f>
        <v/>
      </c>
      <c r="H41" s="11" t="n"/>
      <c r="I41" s="11" t="n"/>
    </row>
    <row r="42" ht="22" customHeight="1">
      <c r="B42" s="15">
        <f>IF(C42="","ISST-"&amp;TEXT(COUNTA($C$5:C42),"000"))</f>
        <v/>
      </c>
      <c r="C42" s="13" t="n"/>
      <c r="D42" s="13" t="n"/>
      <c r="E42" s="31" t="n"/>
      <c r="F42" s="31" t="n"/>
      <c r="G42" s="31">
        <f>IF(F42="","",IF(E42="","",ROUND(F42-E42,1)))</f>
        <v/>
      </c>
      <c r="H42" s="13" t="n"/>
      <c r="I42" s="13" t="n"/>
    </row>
    <row r="43" ht="22" customHeight="1">
      <c r="B43" s="16">
        <f>IF(C43="","ISST-"&amp;TEXT(COUNTA($C$5:C43),"000"))</f>
        <v/>
      </c>
      <c r="C43" s="11" t="n"/>
      <c r="D43" s="11" t="n"/>
      <c r="E43" s="30" t="n"/>
      <c r="F43" s="30" t="n"/>
      <c r="G43" s="30">
        <f>IF(F43="","",IF(E43="","",ROUND(F43-E43,1)))</f>
        <v/>
      </c>
      <c r="H43" s="11" t="n"/>
      <c r="I43" s="11" t="n"/>
    </row>
    <row r="44" ht="22" customHeight="1">
      <c r="B44" s="15">
        <f>IF(C44="","ISST-"&amp;TEXT(COUNTA($C$5:C44),"000"))</f>
        <v/>
      </c>
      <c r="C44" s="13" t="n"/>
      <c r="D44" s="13" t="n"/>
      <c r="E44" s="31" t="n"/>
      <c r="F44" s="31" t="n"/>
      <c r="G44" s="31">
        <f>IF(F44="","",IF(E44="","",ROUND(F44-E44,1)))</f>
        <v/>
      </c>
      <c r="H44" s="13" t="n"/>
      <c r="I44" s="13" t="n"/>
    </row>
    <row r="45" ht="22" customHeight="1">
      <c r="B45" s="16">
        <f>IF(C45="","ISST-"&amp;TEXT(COUNTA($C$5:C45),"000"))</f>
        <v/>
      </c>
      <c r="C45" s="11" t="n"/>
      <c r="D45" s="11" t="n"/>
      <c r="E45" s="30" t="n"/>
      <c r="F45" s="30" t="n"/>
      <c r="G45" s="30">
        <f>IF(F45="","",IF(E45="","",ROUND(F45-E45,1)))</f>
        <v/>
      </c>
      <c r="H45" s="11" t="n"/>
      <c r="I45" s="11" t="n"/>
    </row>
    <row r="46" ht="22" customHeight="1">
      <c r="B46" s="15">
        <f>IF(C46="","ISST-"&amp;TEXT(COUNTA($C$5:C46),"000"))</f>
        <v/>
      </c>
      <c r="C46" s="13" t="n"/>
      <c r="D46" s="13" t="n"/>
      <c r="E46" s="31" t="n"/>
      <c r="F46" s="31" t="n"/>
      <c r="G46" s="31">
        <f>IF(F46="","",IF(E46="","",ROUND(F46-E46,1)))</f>
        <v/>
      </c>
      <c r="H46" s="13" t="n"/>
      <c r="I46" s="13" t="n"/>
    </row>
    <row r="47" ht="22" customHeight="1">
      <c r="B47" s="16">
        <f>IF(C47="","ISST-"&amp;TEXT(COUNTA($C$5:C47),"000"))</f>
        <v/>
      </c>
      <c r="C47" s="11" t="n"/>
      <c r="D47" s="11" t="n"/>
      <c r="E47" s="30" t="n"/>
      <c r="F47" s="30" t="n"/>
      <c r="G47" s="30">
        <f>IF(F47="","",IF(E47="","",ROUND(F47-E47,1)))</f>
        <v/>
      </c>
      <c r="H47" s="11" t="n"/>
      <c r="I47" s="11" t="n"/>
    </row>
    <row r="48" ht="22" customHeight="1">
      <c r="B48" s="15">
        <f>IF(C48="","ISST-"&amp;TEXT(COUNTA($C$5:C48),"000"))</f>
        <v/>
      </c>
      <c r="C48" s="13" t="n"/>
      <c r="D48" s="13" t="n"/>
      <c r="E48" s="31" t="n"/>
      <c r="F48" s="31" t="n"/>
      <c r="G48" s="31">
        <f>IF(F48="","",IF(E48="","",ROUND(F48-E48,1)))</f>
        <v/>
      </c>
      <c r="H48" s="13" t="n"/>
      <c r="I48" s="13" t="n"/>
    </row>
    <row r="49" ht="22" customHeight="1">
      <c r="B49" s="16">
        <f>IF(C49="","ISST-"&amp;TEXT(COUNTA($C$5:C49),"000"))</f>
        <v/>
      </c>
      <c r="C49" s="11" t="n"/>
      <c r="D49" s="11" t="n"/>
      <c r="E49" s="30" t="n"/>
      <c r="F49" s="30" t="n"/>
      <c r="G49" s="30">
        <f>IF(F49="","",IF(E49="","",ROUND(F49-E49,1)))</f>
        <v/>
      </c>
      <c r="H49" s="11" t="n"/>
      <c r="I49" s="11" t="n"/>
    </row>
    <row r="50" ht="22" customHeight="1">
      <c r="B50" s="15">
        <f>IF(C50="","ISST-"&amp;TEXT(COUNTA($C$5:C50),"000"))</f>
        <v/>
      </c>
      <c r="C50" s="13" t="n"/>
      <c r="D50" s="13" t="n"/>
      <c r="E50" s="31" t="n"/>
      <c r="F50" s="31" t="n"/>
      <c r="G50" s="31">
        <f>IF(F50="","",IF(E50="","",ROUND(F50-E50,1)))</f>
        <v/>
      </c>
      <c r="H50" s="13" t="n"/>
      <c r="I50" s="13" t="n"/>
    </row>
    <row r="51" ht="22" customHeight="1">
      <c r="B51" s="16">
        <f>IF(C51="","ISST-"&amp;TEXT(COUNTA($C$5:C51),"000"))</f>
        <v/>
      </c>
      <c r="C51" s="11" t="n"/>
      <c r="D51" s="11" t="n"/>
      <c r="E51" s="30" t="n"/>
      <c r="F51" s="30" t="n"/>
      <c r="G51" s="30">
        <f>IF(F51="","",IF(E51="","",ROUND(F51-E51,1)))</f>
        <v/>
      </c>
      <c r="H51" s="11" t="n"/>
      <c r="I51" s="11" t="n"/>
    </row>
    <row r="52" ht="22" customHeight="1">
      <c r="B52" s="15">
        <f>IF(C52="","ISST-"&amp;TEXT(COUNTA($C$5:C52),"000"))</f>
        <v/>
      </c>
      <c r="C52" s="13" t="n"/>
      <c r="D52" s="13" t="n"/>
      <c r="E52" s="31" t="n"/>
      <c r="F52" s="31" t="n"/>
      <c r="G52" s="31">
        <f>IF(F52="","",IF(E52="","",ROUND(F52-E52,1)))</f>
        <v/>
      </c>
      <c r="H52" s="13" t="n"/>
      <c r="I52" s="13" t="n"/>
    </row>
    <row r="53" ht="22" customHeight="1">
      <c r="B53" s="16">
        <f>IF(C53="","ISST-"&amp;TEXT(COUNTA($C$5:C53),"000"))</f>
        <v/>
      </c>
      <c r="C53" s="11" t="n"/>
      <c r="D53" s="11" t="n"/>
      <c r="E53" s="30" t="n"/>
      <c r="F53" s="30" t="n"/>
      <c r="G53" s="30">
        <f>IF(F53="","",IF(E53="","",ROUND(F53-E53,1)))</f>
        <v/>
      </c>
      <c r="H53" s="11" t="n"/>
      <c r="I53" s="11" t="n"/>
    </row>
    <row r="54" ht="22" customHeight="1">
      <c r="B54" s="15">
        <f>IF(C54="","ISST-"&amp;TEXT(COUNTA($C$5:C54),"000"))</f>
        <v/>
      </c>
      <c r="C54" s="13" t="n"/>
      <c r="D54" s="13" t="n"/>
      <c r="E54" s="31" t="n"/>
      <c r="F54" s="31" t="n"/>
      <c r="G54" s="31">
        <f>IF(F54="","",IF(E54="","",ROUND(F54-E54,1)))</f>
        <v/>
      </c>
      <c r="H54" s="13" t="n"/>
      <c r="I54" s="13" t="n"/>
    </row>
    <row r="55" ht="22" customHeight="1">
      <c r="B55" s="16">
        <f>IF(C55="","ISST-"&amp;TEXT(COUNTA($C$5:C55),"000"))</f>
        <v/>
      </c>
      <c r="C55" s="11" t="n"/>
      <c r="D55" s="11" t="n"/>
      <c r="E55" s="30" t="n"/>
      <c r="F55" s="30" t="n"/>
      <c r="G55" s="30">
        <f>IF(F55="","",IF(E55="","",ROUND(F55-E55,1)))</f>
        <v/>
      </c>
      <c r="H55" s="11" t="n"/>
      <c r="I55" s="11" t="n"/>
    </row>
    <row r="56" ht="22" customHeight="1">
      <c r="B56" s="15">
        <f>IF(C56="","ISST-"&amp;TEXT(COUNTA($C$5:C56),"000"))</f>
        <v/>
      </c>
      <c r="C56" s="13" t="n"/>
      <c r="D56" s="13" t="n"/>
      <c r="E56" s="31" t="n"/>
      <c r="F56" s="31" t="n"/>
      <c r="G56" s="31">
        <f>IF(F56="","",IF(E56="","",ROUND(F56-E56,1)))</f>
        <v/>
      </c>
      <c r="H56" s="13" t="n"/>
      <c r="I56" s="13" t="n"/>
    </row>
    <row r="57" ht="22" customHeight="1">
      <c r="B57" s="16">
        <f>IF(C57="","ISST-"&amp;TEXT(COUNTA($C$5:C57),"000"))</f>
        <v/>
      </c>
      <c r="C57" s="11" t="n"/>
      <c r="D57" s="11" t="n"/>
      <c r="E57" s="30" t="n"/>
      <c r="F57" s="30" t="n"/>
      <c r="G57" s="30">
        <f>IF(F57="","",IF(E57="","",ROUND(F57-E57,1)))</f>
        <v/>
      </c>
      <c r="H57" s="11" t="n"/>
      <c r="I57" s="11" t="n"/>
    </row>
    <row r="58" ht="22" customHeight="1">
      <c r="B58" s="15">
        <f>IF(C58="","ISST-"&amp;TEXT(COUNTA($C$5:C58),"000"))</f>
        <v/>
      </c>
      <c r="C58" s="13" t="n"/>
      <c r="D58" s="13" t="n"/>
      <c r="E58" s="31" t="n"/>
      <c r="F58" s="31" t="n"/>
      <c r="G58" s="31">
        <f>IF(F58="","",IF(E58="","",ROUND(F58-E58,1)))</f>
        <v/>
      </c>
      <c r="H58" s="13" t="n"/>
      <c r="I58" s="13" t="n"/>
    </row>
    <row r="59" ht="22" customHeight="1">
      <c r="B59" s="16">
        <f>IF(C59="","ISST-"&amp;TEXT(COUNTA($C$5:C59),"000"))</f>
        <v/>
      </c>
      <c r="C59" s="11" t="n"/>
      <c r="D59" s="11" t="n"/>
      <c r="E59" s="30" t="n"/>
      <c r="F59" s="30" t="n"/>
      <c r="G59" s="30">
        <f>IF(F59="","",IF(E59="","",ROUND(F59-E59,1)))</f>
        <v/>
      </c>
      <c r="H59" s="11" t="n"/>
      <c r="I59" s="11" t="n"/>
    </row>
    <row r="60" ht="22" customHeight="1">
      <c r="B60" s="15">
        <f>IF(C60="","ISST-"&amp;TEXT(COUNTA($C$5:C60),"000"))</f>
        <v/>
      </c>
      <c r="C60" s="13" t="n"/>
      <c r="D60" s="13" t="n"/>
      <c r="E60" s="31" t="n"/>
      <c r="F60" s="31" t="n"/>
      <c r="G60" s="31">
        <f>IF(F60="","",IF(E60="","",ROUND(F60-E60,1)))</f>
        <v/>
      </c>
      <c r="H60" s="13" t="n"/>
      <c r="I60" s="13" t="n"/>
    </row>
    <row r="61" ht="22" customHeight="1">
      <c r="B61" s="16">
        <f>IF(C61="","ISST-"&amp;TEXT(COUNTA($C$5:C61),"000"))</f>
        <v/>
      </c>
      <c r="C61" s="11" t="n"/>
      <c r="D61" s="11" t="n"/>
      <c r="E61" s="30" t="n"/>
      <c r="F61" s="30" t="n"/>
      <c r="G61" s="30">
        <f>IF(F61="","",IF(E61="","",ROUND(F61-E61,1)))</f>
        <v/>
      </c>
      <c r="H61" s="11" t="n"/>
      <c r="I61" s="11" t="n"/>
    </row>
    <row r="62" ht="22" customHeight="1">
      <c r="B62" s="15">
        <f>IF(C62="","ISST-"&amp;TEXT(COUNTA($C$5:C62),"000"))</f>
        <v/>
      </c>
      <c r="C62" s="13" t="n"/>
      <c r="D62" s="13" t="n"/>
      <c r="E62" s="31" t="n"/>
      <c r="F62" s="31" t="n"/>
      <c r="G62" s="31">
        <f>IF(F62="","",IF(E62="","",ROUND(F62-E62,1)))</f>
        <v/>
      </c>
      <c r="H62" s="13" t="n"/>
      <c r="I62" s="13" t="n"/>
    </row>
    <row r="63" ht="22" customHeight="1">
      <c r="B63" s="16">
        <f>IF(C63="","ISST-"&amp;TEXT(COUNTA($C$5:C63),"000"))</f>
        <v/>
      </c>
      <c r="C63" s="11" t="n"/>
      <c r="D63" s="11" t="n"/>
      <c r="E63" s="30" t="n"/>
      <c r="F63" s="30" t="n"/>
      <c r="G63" s="30">
        <f>IF(F63="","",IF(E63="","",ROUND(F63-E63,1)))</f>
        <v/>
      </c>
      <c r="H63" s="11" t="n"/>
      <c r="I63" s="11" t="n"/>
    </row>
    <row r="64" ht="22" customHeight="1">
      <c r="B64" s="15">
        <f>IF(C64="","ISST-"&amp;TEXT(COUNTA($C$5:C64),"000"))</f>
        <v/>
      </c>
      <c r="C64" s="13" t="n"/>
      <c r="D64" s="13" t="n"/>
      <c r="E64" s="31" t="n"/>
      <c r="F64" s="31" t="n"/>
      <c r="G64" s="31">
        <f>IF(F64="","",IF(E64="","",ROUND(F64-E64,1)))</f>
        <v/>
      </c>
      <c r="H64" s="13" t="n"/>
      <c r="I64" s="13" t="n"/>
    </row>
    <row r="65" ht="22" customHeight="1">
      <c r="B65" s="16">
        <f>IF(C65="","ISST-"&amp;TEXT(COUNTA($C$5:C65),"000"))</f>
        <v/>
      </c>
      <c r="C65" s="11" t="n"/>
      <c r="D65" s="11" t="n"/>
      <c r="E65" s="30" t="n"/>
      <c r="F65" s="30" t="n"/>
      <c r="G65" s="30">
        <f>IF(F65="","",IF(E65="","",ROUND(F65-E65,1)))</f>
        <v/>
      </c>
      <c r="H65" s="11" t="n"/>
      <c r="I65" s="11" t="n"/>
    </row>
    <row r="66" ht="22" customHeight="1">
      <c r="B66" s="15">
        <f>IF(C66="","ISST-"&amp;TEXT(COUNTA($C$5:C66),"000"))</f>
        <v/>
      </c>
      <c r="C66" s="13" t="n"/>
      <c r="D66" s="13" t="n"/>
      <c r="E66" s="31" t="n"/>
      <c r="F66" s="31" t="n"/>
      <c r="G66" s="31">
        <f>IF(F66="","",IF(E66="","",ROUND(F66-E66,1)))</f>
        <v/>
      </c>
      <c r="H66" s="13" t="n"/>
      <c r="I66" s="13" t="n"/>
    </row>
    <row r="67" ht="22" customHeight="1">
      <c r="B67" s="16">
        <f>IF(C67="","ISST-"&amp;TEXT(COUNTA($C$5:C67),"000"))</f>
        <v/>
      </c>
      <c r="C67" s="11" t="n"/>
      <c r="D67" s="11" t="n"/>
      <c r="E67" s="30" t="n"/>
      <c r="F67" s="30" t="n"/>
      <c r="G67" s="30">
        <f>IF(F67="","",IF(E67="","",ROUND(F67-E67,1)))</f>
        <v/>
      </c>
      <c r="H67" s="11" t="n"/>
      <c r="I67" s="11" t="n"/>
    </row>
    <row r="68" ht="22" customHeight="1">
      <c r="B68" s="15">
        <f>IF(C68="","ISST-"&amp;TEXT(COUNTA($C$5:C68),"000"))</f>
        <v/>
      </c>
      <c r="C68" s="13" t="n"/>
      <c r="D68" s="13" t="n"/>
      <c r="E68" s="31" t="n"/>
      <c r="F68" s="31" t="n"/>
      <c r="G68" s="31">
        <f>IF(F68="","",IF(E68="","",ROUND(F68-E68,1)))</f>
        <v/>
      </c>
      <c r="H68" s="13" t="n"/>
      <c r="I68" s="13" t="n"/>
    </row>
    <row r="69" ht="22" customHeight="1">
      <c r="B69" s="16">
        <f>IF(C69="","ISST-"&amp;TEXT(COUNTA($C$5:C69),"000"))</f>
        <v/>
      </c>
      <c r="C69" s="11" t="n"/>
      <c r="D69" s="11" t="n"/>
      <c r="E69" s="30" t="n"/>
      <c r="F69" s="30" t="n"/>
      <c r="G69" s="30">
        <f>IF(F69="","",IF(E69="","",ROUND(F69-E69,1)))</f>
        <v/>
      </c>
      <c r="H69" s="11" t="n"/>
      <c r="I69" s="11" t="n"/>
    </row>
    <row r="70" ht="22" customHeight="1">
      <c r="B70" s="15">
        <f>IF(C70="","ISST-"&amp;TEXT(COUNTA($C$5:C70),"000"))</f>
        <v/>
      </c>
      <c r="C70" s="13" t="n"/>
      <c r="D70" s="13" t="n"/>
      <c r="E70" s="31" t="n"/>
      <c r="F70" s="31" t="n"/>
      <c r="G70" s="31">
        <f>IF(F70="","",IF(E70="","",ROUND(F70-E70,1)))</f>
        <v/>
      </c>
      <c r="H70" s="13" t="n"/>
      <c r="I70" s="13" t="n"/>
    </row>
    <row r="71" ht="22" customHeight="1">
      <c r="B71" s="16">
        <f>IF(C71="","ISST-"&amp;TEXT(COUNTA($C$5:C71),"000"))</f>
        <v/>
      </c>
      <c r="C71" s="11" t="n"/>
      <c r="D71" s="11" t="n"/>
      <c r="E71" s="30" t="n"/>
      <c r="F71" s="30" t="n"/>
      <c r="G71" s="30">
        <f>IF(F71="","",IF(E71="","",ROUND(F71-E71,1)))</f>
        <v/>
      </c>
      <c r="H71" s="11" t="n"/>
      <c r="I71" s="11" t="n"/>
    </row>
    <row r="72" ht="22" customHeight="1">
      <c r="B72" s="15">
        <f>IF(C72="","ISST-"&amp;TEXT(COUNTA($C$5:C72),"000"))</f>
        <v/>
      </c>
      <c r="C72" s="13" t="n"/>
      <c r="D72" s="13" t="n"/>
      <c r="E72" s="31" t="n"/>
      <c r="F72" s="31" t="n"/>
      <c r="G72" s="31">
        <f>IF(F72="","",IF(E72="","",ROUND(F72-E72,1)))</f>
        <v/>
      </c>
      <c r="H72" s="13" t="n"/>
      <c r="I72" s="13" t="n"/>
    </row>
    <row r="73" ht="22" customHeight="1">
      <c r="B73" s="16">
        <f>IF(C73="","ISST-"&amp;TEXT(COUNTA($C$5:C73),"000"))</f>
        <v/>
      </c>
      <c r="C73" s="11" t="n"/>
      <c r="D73" s="11" t="n"/>
      <c r="E73" s="30" t="n"/>
      <c r="F73" s="30" t="n"/>
      <c r="G73" s="30">
        <f>IF(F73="","",IF(E73="","",ROUND(F73-E73,1)))</f>
        <v/>
      </c>
      <c r="H73" s="11" t="n"/>
      <c r="I73" s="11" t="n"/>
    </row>
    <row r="74" ht="22" customHeight="1">
      <c r="B74" s="15">
        <f>IF(C74="","ISST-"&amp;TEXT(COUNTA($C$5:C74),"000"))</f>
        <v/>
      </c>
      <c r="C74" s="13" t="n"/>
      <c r="D74" s="13" t="n"/>
      <c r="E74" s="31" t="n"/>
      <c r="F74" s="31" t="n"/>
      <c r="G74" s="31">
        <f>IF(F74="","",IF(E74="","",ROUND(F74-E74,1)))</f>
        <v/>
      </c>
      <c r="H74" s="13" t="n"/>
      <c r="I74" s="13" t="n"/>
    </row>
    <row r="75" ht="22" customHeight="1">
      <c r="B75" s="16">
        <f>IF(C75="","ISST-"&amp;TEXT(COUNTA($C$5:C75),"000"))</f>
        <v/>
      </c>
      <c r="C75" s="11" t="n"/>
      <c r="D75" s="11" t="n"/>
      <c r="E75" s="30" t="n"/>
      <c r="F75" s="30" t="n"/>
      <c r="G75" s="30">
        <f>IF(F75="","",IF(E75="","",ROUND(F75-E75,1)))</f>
        <v/>
      </c>
      <c r="H75" s="11" t="n"/>
      <c r="I75" s="11" t="n"/>
    </row>
    <row r="76" ht="22" customHeight="1">
      <c r="B76" s="15">
        <f>IF(C76="","ISST-"&amp;TEXT(COUNTA($C$5:C76),"000"))</f>
        <v/>
      </c>
      <c r="C76" s="13" t="n"/>
      <c r="D76" s="13" t="n"/>
      <c r="E76" s="31" t="n"/>
      <c r="F76" s="31" t="n"/>
      <c r="G76" s="31">
        <f>IF(F76="","",IF(E76="","",ROUND(F76-E76,1)))</f>
        <v/>
      </c>
      <c r="H76" s="13" t="n"/>
      <c r="I76" s="13" t="n"/>
    </row>
    <row r="77" ht="22" customHeight="1">
      <c r="B77" s="16">
        <f>IF(C77="","ISST-"&amp;TEXT(COUNTA($C$5:C77),"000"))</f>
        <v/>
      </c>
      <c r="C77" s="11" t="n"/>
      <c r="D77" s="11" t="n"/>
      <c r="E77" s="30" t="n"/>
      <c r="F77" s="30" t="n"/>
      <c r="G77" s="30">
        <f>IF(F77="","",IF(E77="","",ROUND(F77-E77,1)))</f>
        <v/>
      </c>
      <c r="H77" s="11" t="n"/>
      <c r="I77" s="11" t="n"/>
    </row>
    <row r="78" ht="22" customHeight="1">
      <c r="B78" s="15">
        <f>IF(C78="","ISST-"&amp;TEXT(COUNTA($C$5:C78),"000"))</f>
        <v/>
      </c>
      <c r="C78" s="13" t="n"/>
      <c r="D78" s="13" t="n"/>
      <c r="E78" s="31" t="n"/>
      <c r="F78" s="31" t="n"/>
      <c r="G78" s="31">
        <f>IF(F78="","",IF(E78="","",ROUND(F78-E78,1)))</f>
        <v/>
      </c>
      <c r="H78" s="13" t="n"/>
      <c r="I78" s="13" t="n"/>
    </row>
    <row r="79" ht="22" customHeight="1">
      <c r="B79" s="16">
        <f>IF(C79="","ISST-"&amp;TEXT(COUNTA($C$5:C79),"000"))</f>
        <v/>
      </c>
      <c r="C79" s="11" t="n"/>
      <c r="D79" s="11" t="n"/>
      <c r="E79" s="30" t="n"/>
      <c r="F79" s="30" t="n"/>
      <c r="G79" s="30">
        <f>IF(F79="","",IF(E79="","",ROUND(F79-E79,1)))</f>
        <v/>
      </c>
      <c r="H79" s="11" t="n"/>
      <c r="I79" s="11" t="n"/>
    </row>
    <row r="80" ht="22" customHeight="1">
      <c r="B80" s="15">
        <f>IF(C80="","ISST-"&amp;TEXT(COUNTA($C$5:C80),"000"))</f>
        <v/>
      </c>
      <c r="C80" s="13" t="n"/>
      <c r="D80" s="13" t="n"/>
      <c r="E80" s="31" t="n"/>
      <c r="F80" s="31" t="n"/>
      <c r="G80" s="31">
        <f>IF(F80="","",IF(E80="","",ROUND(F80-E80,1)))</f>
        <v/>
      </c>
      <c r="H80" s="13" t="n"/>
      <c r="I80" s="13" t="n"/>
    </row>
    <row r="81" ht="22" customHeight="1">
      <c r="B81" s="16">
        <f>IF(C81="","ISST-"&amp;TEXT(COUNTA($C$5:C81),"000"))</f>
        <v/>
      </c>
      <c r="C81" s="11" t="n"/>
      <c r="D81" s="11" t="n"/>
      <c r="E81" s="30" t="n"/>
      <c r="F81" s="30" t="n"/>
      <c r="G81" s="30">
        <f>IF(F81="","",IF(E81="","",ROUND(F81-E81,1)))</f>
        <v/>
      </c>
      <c r="H81" s="11" t="n"/>
      <c r="I81" s="11" t="n"/>
    </row>
    <row r="82" ht="22" customHeight="1">
      <c r="B82" s="15">
        <f>IF(C82="","ISST-"&amp;TEXT(COUNTA($C$5:C82),"000"))</f>
        <v/>
      </c>
      <c r="C82" s="13" t="n"/>
      <c r="D82" s="13" t="n"/>
      <c r="E82" s="31" t="n"/>
      <c r="F82" s="31" t="n"/>
      <c r="G82" s="31">
        <f>IF(F82="","",IF(E82="","",ROUND(F82-E82,1)))</f>
        <v/>
      </c>
      <c r="H82" s="13" t="n"/>
      <c r="I82" s="13" t="n"/>
    </row>
    <row r="83" ht="22" customHeight="1">
      <c r="B83" s="16">
        <f>IF(C83="","ISST-"&amp;TEXT(COUNTA($C$5:C83),"000"))</f>
        <v/>
      </c>
      <c r="C83" s="11" t="n"/>
      <c r="D83" s="11" t="n"/>
      <c r="E83" s="30" t="n"/>
      <c r="F83" s="30" t="n"/>
      <c r="G83" s="30">
        <f>IF(F83="","",IF(E83="","",ROUND(F83-E83,1)))</f>
        <v/>
      </c>
      <c r="H83" s="11" t="n"/>
      <c r="I83" s="11" t="n"/>
    </row>
    <row r="84" ht="22" customHeight="1">
      <c r="B84" s="15">
        <f>IF(C84="","ISST-"&amp;TEXT(COUNTA($C$5:C84),"000"))</f>
        <v/>
      </c>
      <c r="C84" s="13" t="n"/>
      <c r="D84" s="13" t="n"/>
      <c r="E84" s="31" t="n"/>
      <c r="F84" s="31" t="n"/>
      <c r="G84" s="31">
        <f>IF(F84="","",IF(E84="","",ROUND(F84-E84,1)))</f>
        <v/>
      </c>
      <c r="H84" s="13" t="n"/>
      <c r="I84" s="13" t="n"/>
    </row>
    <row r="85" ht="22" customHeight="1">
      <c r="B85" s="16">
        <f>IF(C85="","ISST-"&amp;TEXT(COUNTA($C$5:C85),"000"))</f>
        <v/>
      </c>
      <c r="C85" s="11" t="n"/>
      <c r="D85" s="11" t="n"/>
      <c r="E85" s="30" t="n"/>
      <c r="F85" s="30" t="n"/>
      <c r="G85" s="30">
        <f>IF(F85="","",IF(E85="","",ROUND(F85-E85,1)))</f>
        <v/>
      </c>
      <c r="H85" s="11" t="n"/>
      <c r="I85" s="11" t="n"/>
    </row>
    <row r="86" ht="22" customHeight="1">
      <c r="B86" s="15">
        <f>IF(C86="","ISST-"&amp;TEXT(COUNTA($C$5:C86),"000"))</f>
        <v/>
      </c>
      <c r="C86" s="13" t="n"/>
      <c r="D86" s="13" t="n"/>
      <c r="E86" s="31" t="n"/>
      <c r="F86" s="31" t="n"/>
      <c r="G86" s="31">
        <f>IF(F86="","",IF(E86="","",ROUND(F86-E86,1)))</f>
        <v/>
      </c>
      <c r="H86" s="13" t="n"/>
      <c r="I86" s="13" t="n"/>
    </row>
    <row r="87" ht="22" customHeight="1">
      <c r="B87" s="16">
        <f>IF(C87="","ISST-"&amp;TEXT(COUNTA($C$5:C87),"000"))</f>
        <v/>
      </c>
      <c r="C87" s="11" t="n"/>
      <c r="D87" s="11" t="n"/>
      <c r="E87" s="30" t="n"/>
      <c r="F87" s="30" t="n"/>
      <c r="G87" s="30">
        <f>IF(F87="","",IF(E87="","",ROUND(F87-E87,1)))</f>
        <v/>
      </c>
      <c r="H87" s="11" t="n"/>
      <c r="I87" s="11" t="n"/>
    </row>
    <row r="88" ht="22" customHeight="1">
      <c r="B88" s="15">
        <f>IF(C88="","ISST-"&amp;TEXT(COUNTA($C$5:C88),"000"))</f>
        <v/>
      </c>
      <c r="C88" s="13" t="n"/>
      <c r="D88" s="13" t="n"/>
      <c r="E88" s="31" t="n"/>
      <c r="F88" s="31" t="n"/>
      <c r="G88" s="31">
        <f>IF(F88="","",IF(E88="","",ROUND(F88-E88,1)))</f>
        <v/>
      </c>
      <c r="H88" s="13" t="n"/>
      <c r="I88" s="13" t="n"/>
    </row>
    <row r="89" ht="22" customHeight="1">
      <c r="B89" s="16">
        <f>IF(C89="","ISST-"&amp;TEXT(COUNTA($C$5:C89),"000"))</f>
        <v/>
      </c>
      <c r="C89" s="11" t="n"/>
      <c r="D89" s="11" t="n"/>
      <c r="E89" s="30" t="n"/>
      <c r="F89" s="30" t="n"/>
      <c r="G89" s="30">
        <f>IF(F89="","",IF(E89="","",ROUND(F89-E89,1)))</f>
        <v/>
      </c>
      <c r="H89" s="11" t="n"/>
      <c r="I89" s="11" t="n"/>
    </row>
    <row r="90" ht="22" customHeight="1">
      <c r="B90" s="15">
        <f>IF(C90="","ISST-"&amp;TEXT(COUNTA($C$5:C90),"000"))</f>
        <v/>
      </c>
      <c r="C90" s="13" t="n"/>
      <c r="D90" s="13" t="n"/>
      <c r="E90" s="31" t="n"/>
      <c r="F90" s="31" t="n"/>
      <c r="G90" s="31">
        <f>IF(F90="","",IF(E90="","",ROUND(F90-E90,1)))</f>
        <v/>
      </c>
      <c r="H90" s="13" t="n"/>
      <c r="I90" s="13" t="n"/>
    </row>
    <row r="91" ht="22" customHeight="1">
      <c r="B91" s="16">
        <f>IF(C91="","ISST-"&amp;TEXT(COUNTA($C$5:C91),"000"))</f>
        <v/>
      </c>
      <c r="C91" s="11" t="n"/>
      <c r="D91" s="11" t="n"/>
      <c r="E91" s="30" t="n"/>
      <c r="F91" s="30" t="n"/>
      <c r="G91" s="30">
        <f>IF(F91="","",IF(E91="","",ROUND(F91-E91,1)))</f>
        <v/>
      </c>
      <c r="H91" s="11" t="n"/>
      <c r="I91" s="11" t="n"/>
    </row>
    <row r="92" ht="22" customHeight="1">
      <c r="B92" s="15">
        <f>IF(C92="","ISST-"&amp;TEXT(COUNTA($C$5:C92),"000"))</f>
        <v/>
      </c>
      <c r="C92" s="13" t="n"/>
      <c r="D92" s="13" t="n"/>
      <c r="E92" s="31" t="n"/>
      <c r="F92" s="31" t="n"/>
      <c r="G92" s="31">
        <f>IF(F92="","",IF(E92="","",ROUND(F92-E92,1)))</f>
        <v/>
      </c>
      <c r="H92" s="13" t="n"/>
      <c r="I92" s="13" t="n"/>
    </row>
    <row r="93" ht="22" customHeight="1">
      <c r="B93" s="16">
        <f>IF(C93="","ISST-"&amp;TEXT(COUNTA($C$5:C93),"000"))</f>
        <v/>
      </c>
      <c r="C93" s="11" t="n"/>
      <c r="D93" s="11" t="n"/>
      <c r="E93" s="30" t="n"/>
      <c r="F93" s="30" t="n"/>
      <c r="G93" s="30">
        <f>IF(F93="","",IF(E93="","",ROUND(F93-E93,1)))</f>
        <v/>
      </c>
      <c r="H93" s="11" t="n"/>
      <c r="I93" s="11" t="n"/>
    </row>
    <row r="94" ht="22" customHeight="1">
      <c r="B94" s="15">
        <f>IF(C94="","ISST-"&amp;TEXT(COUNTA($C$5:C94),"000"))</f>
        <v/>
      </c>
      <c r="C94" s="13" t="n"/>
      <c r="D94" s="13" t="n"/>
      <c r="E94" s="31" t="n"/>
      <c r="F94" s="31" t="n"/>
      <c r="G94" s="31">
        <f>IF(F94="","",IF(E94="","",ROUND(F94-E94,1)))</f>
        <v/>
      </c>
      <c r="H94" s="13" t="n"/>
      <c r="I94" s="13" t="n"/>
    </row>
    <row r="95" ht="22" customHeight="1">
      <c r="B95" s="16">
        <f>IF(C95="","ISST-"&amp;TEXT(COUNTA($C$5:C95),"000"))</f>
        <v/>
      </c>
      <c r="C95" s="11" t="n"/>
      <c r="D95" s="11" t="n"/>
      <c r="E95" s="30" t="n"/>
      <c r="F95" s="30" t="n"/>
      <c r="G95" s="30">
        <f>IF(F95="","",IF(E95="","",ROUND(F95-E95,1)))</f>
        <v/>
      </c>
      <c r="H95" s="11" t="n"/>
      <c r="I95" s="11" t="n"/>
    </row>
    <row r="96" ht="22" customHeight="1">
      <c r="B96" s="15">
        <f>IF(C96="","ISST-"&amp;TEXT(COUNTA($C$5:C96),"000"))</f>
        <v/>
      </c>
      <c r="C96" s="13" t="n"/>
      <c r="D96" s="13" t="n"/>
      <c r="E96" s="31" t="n"/>
      <c r="F96" s="31" t="n"/>
      <c r="G96" s="31">
        <f>IF(F96="","",IF(E96="","",ROUND(F96-E96,1)))</f>
        <v/>
      </c>
      <c r="H96" s="13" t="n"/>
      <c r="I96" s="13" t="n"/>
    </row>
    <row r="97" ht="22" customHeight="1">
      <c r="B97" s="16">
        <f>IF(C97="","ISST-"&amp;TEXT(COUNTA($C$5:C97),"000"))</f>
        <v/>
      </c>
      <c r="C97" s="11" t="n"/>
      <c r="D97" s="11" t="n"/>
      <c r="E97" s="30" t="n"/>
      <c r="F97" s="30" t="n"/>
      <c r="G97" s="30">
        <f>IF(F97="","",IF(E97="","",ROUND(F97-E97,1)))</f>
        <v/>
      </c>
      <c r="H97" s="11" t="n"/>
      <c r="I97" s="11" t="n"/>
    </row>
    <row r="98" ht="22" customHeight="1">
      <c r="B98" s="15">
        <f>IF(C98="","ISST-"&amp;TEXT(COUNTA($C$5:C98),"000"))</f>
        <v/>
      </c>
      <c r="C98" s="13" t="n"/>
      <c r="D98" s="13" t="n"/>
      <c r="E98" s="31" t="n"/>
      <c r="F98" s="31" t="n"/>
      <c r="G98" s="31">
        <f>IF(F98="","",IF(E98="","",ROUND(F98-E98,1)))</f>
        <v/>
      </c>
      <c r="H98" s="13" t="n"/>
      <c r="I98" s="13" t="n"/>
    </row>
    <row r="99" ht="22" customHeight="1">
      <c r="B99" s="16">
        <f>IF(C99="","ISST-"&amp;TEXT(COUNTA($C$5:C99),"000"))</f>
        <v/>
      </c>
      <c r="C99" s="11" t="n"/>
      <c r="D99" s="11" t="n"/>
      <c r="E99" s="30" t="n"/>
      <c r="F99" s="30" t="n"/>
      <c r="G99" s="30">
        <f>IF(F99="","",IF(E99="","",ROUND(F99-E99,1)))</f>
        <v/>
      </c>
      <c r="H99" s="11" t="n"/>
      <c r="I99" s="11" t="n"/>
    </row>
    <row r="100" ht="22" customHeight="1">
      <c r="B100" s="15">
        <f>IF(C100="","ISST-"&amp;TEXT(COUNTA($C$5:C100),"000"))</f>
        <v/>
      </c>
      <c r="C100" s="13" t="n"/>
      <c r="D100" s="13" t="n"/>
      <c r="E100" s="31" t="n"/>
      <c r="F100" s="31" t="n"/>
      <c r="G100" s="31">
        <f>IF(F100="","",IF(E100="","",ROUND(F100-E100,1)))</f>
        <v/>
      </c>
      <c r="H100" s="13" t="n"/>
      <c r="I100" s="13" t="n"/>
    </row>
    <row r="101" ht="22" customHeight="1">
      <c r="B101" s="16">
        <f>IF(C101="","ISST-"&amp;TEXT(COUNTA($C$5:C101),"000"))</f>
        <v/>
      </c>
      <c r="C101" s="11" t="n"/>
      <c r="D101" s="11" t="n"/>
      <c r="E101" s="30" t="n"/>
      <c r="F101" s="30" t="n"/>
      <c r="G101" s="30">
        <f>IF(F101="","",IF(E101="","",ROUND(F101-E101,1)))</f>
        <v/>
      </c>
      <c r="H101" s="11" t="n"/>
      <c r="I101" s="11" t="n"/>
    </row>
    <row r="102" ht="22" customHeight="1">
      <c r="B102" s="15">
        <f>IF(C102="","ISST-"&amp;TEXT(COUNTA($C$5:C102),"000"))</f>
        <v/>
      </c>
      <c r="C102" s="13" t="n"/>
      <c r="D102" s="13" t="n"/>
      <c r="E102" s="31" t="n"/>
      <c r="F102" s="31" t="n"/>
      <c r="G102" s="31">
        <f>IF(F102="","",IF(E102="","",ROUND(F102-E102,1)))</f>
        <v/>
      </c>
      <c r="H102" s="13" t="n"/>
      <c r="I102" s="13" t="n"/>
    </row>
    <row r="103" ht="22" customHeight="1">
      <c r="B103" s="16">
        <f>IF(C103="","ISST-"&amp;TEXT(COUNTA($C$5:C103),"000"))</f>
        <v/>
      </c>
      <c r="C103" s="11" t="n"/>
      <c r="D103" s="11" t="n"/>
      <c r="E103" s="30" t="n"/>
      <c r="F103" s="30" t="n"/>
      <c r="G103" s="30">
        <f>IF(F103="","",IF(E103="","",ROUND(F103-E103,1)))</f>
        <v/>
      </c>
      <c r="H103" s="11" t="n"/>
      <c r="I103" s="11" t="n"/>
    </row>
    <row r="104" ht="22" customHeight="1">
      <c r="B104" s="15">
        <f>IF(C104="","ISST-"&amp;TEXT(COUNTA($C$5:C104),"000"))</f>
        <v/>
      </c>
      <c r="C104" s="13" t="n"/>
      <c r="D104" s="13" t="n"/>
      <c r="E104" s="31" t="n"/>
      <c r="F104" s="31" t="n"/>
      <c r="G104" s="31">
        <f>IF(F104="","",IF(E104="","",ROUND(F104-E104,1)))</f>
        <v/>
      </c>
      <c r="H104" s="13" t="n"/>
      <c r="I104" s="13" t="n"/>
    </row>
    <row r="105" ht="22" customHeight="1">
      <c r="B105" s="16">
        <f>IF(C105="","ISST-"&amp;TEXT(COUNTA($C$5:C105),"000"))</f>
        <v/>
      </c>
      <c r="C105" s="11" t="n"/>
      <c r="D105" s="11" t="n"/>
      <c r="E105" s="30" t="n"/>
      <c r="F105" s="30" t="n"/>
      <c r="G105" s="30">
        <f>IF(F105="","",IF(E105="","",ROUND(F105-E105,1)))</f>
        <v/>
      </c>
      <c r="H105" s="11" t="n"/>
      <c r="I105" s="11" t="n"/>
    </row>
    <row r="106" ht="22" customHeight="1">
      <c r="B106" s="15">
        <f>IF(C106="","ISST-"&amp;TEXT(COUNTA($C$5:C106),"000"))</f>
        <v/>
      </c>
      <c r="C106" s="13" t="n"/>
      <c r="D106" s="13" t="n"/>
      <c r="E106" s="31" t="n"/>
      <c r="F106" s="31" t="n"/>
      <c r="G106" s="31">
        <f>IF(F106="","",IF(E106="","",ROUND(F106-E106,1)))</f>
        <v/>
      </c>
      <c r="H106" s="13" t="n"/>
      <c r="I106" s="13" t="n"/>
    </row>
    <row r="107" ht="22" customHeight="1">
      <c r="B107" s="16">
        <f>IF(C107="","ISST-"&amp;TEXT(COUNTA($C$5:C107),"000"))</f>
        <v/>
      </c>
      <c r="C107" s="11" t="n"/>
      <c r="D107" s="11" t="n"/>
      <c r="E107" s="30" t="n"/>
      <c r="F107" s="30" t="n"/>
      <c r="G107" s="30">
        <f>IF(F107="","",IF(E107="","",ROUND(F107-E107,1)))</f>
        <v/>
      </c>
      <c r="H107" s="11" t="n"/>
      <c r="I107" s="11" t="n"/>
    </row>
    <row r="108" ht="22" customHeight="1">
      <c r="B108" s="15">
        <f>IF(C108="","ISST-"&amp;TEXT(COUNTA($C$5:C108),"000"))</f>
        <v/>
      </c>
      <c r="C108" s="13" t="n"/>
      <c r="D108" s="13" t="n"/>
      <c r="E108" s="31" t="n"/>
      <c r="F108" s="31" t="n"/>
      <c r="G108" s="31">
        <f>IF(F108="","",IF(E108="","",ROUND(F108-E108,1)))</f>
        <v/>
      </c>
      <c r="H108" s="13" t="n"/>
      <c r="I108" s="13" t="n"/>
    </row>
    <row r="109" ht="22" customHeight="1">
      <c r="B109" s="16">
        <f>IF(C109="","ISST-"&amp;TEXT(COUNTA($C$5:C109),"000"))</f>
        <v/>
      </c>
      <c r="C109" s="11" t="n"/>
      <c r="D109" s="11" t="n"/>
      <c r="E109" s="30" t="n"/>
      <c r="F109" s="30" t="n"/>
      <c r="G109" s="30">
        <f>IF(F109="","",IF(E109="","",ROUND(F109-E109,1)))</f>
        <v/>
      </c>
      <c r="H109" s="11" t="n"/>
      <c r="I109" s="11" t="n"/>
    </row>
    <row r="110" ht="22" customHeight="1">
      <c r="B110" s="15">
        <f>IF(C110="","ISST-"&amp;TEXT(COUNTA($C$5:C110),"000"))</f>
        <v/>
      </c>
      <c r="C110" s="13" t="n"/>
      <c r="D110" s="13" t="n"/>
      <c r="E110" s="31" t="n"/>
      <c r="F110" s="31" t="n"/>
      <c r="G110" s="31">
        <f>IF(F110="","",IF(E110="","",ROUND(F110-E110,1)))</f>
        <v/>
      </c>
      <c r="H110" s="13" t="n"/>
      <c r="I110" s="13" t="n"/>
    </row>
    <row r="111" ht="22" customHeight="1">
      <c r="B111" s="16">
        <f>IF(C111="","ISST-"&amp;TEXT(COUNTA($C$5:C111),"000"))</f>
        <v/>
      </c>
      <c r="C111" s="11" t="n"/>
      <c r="D111" s="11" t="n"/>
      <c r="E111" s="30" t="n"/>
      <c r="F111" s="30" t="n"/>
      <c r="G111" s="30">
        <f>IF(F111="","",IF(E111="","",ROUND(F111-E111,1)))</f>
        <v/>
      </c>
      <c r="H111" s="11" t="n"/>
      <c r="I111" s="11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Indicateurs</t>
        </is>
      </c>
      <c r="D114" s="3" t="inlineStr">
        <is>
          <t>Sous objectif</t>
        </is>
      </c>
      <c r="F114" s="3" t="inlineStr">
        <is>
          <t>Dans objectif</t>
        </is>
      </c>
      <c r="H114" s="3" t="inlineStr">
        <is>
          <t>Ecart moyen</t>
        </is>
      </c>
    </row>
    <row r="115">
      <c r="B115" s="4">
        <f>COUNTIF(B5:B104,"&lt;&gt;")</f>
        <v/>
      </c>
      <c r="D115" s="4">
        <f>COUNTIF(G5:G104,"&gt;0")</f>
        <v/>
      </c>
      <c r="F115" s="4">
        <f>COUNTIF(G5:G104,"&lt;=0")</f>
        <v/>
      </c>
      <c r="H115" s="4">
        <f>IFERROR(AVERAGE(G5:G104),0)</f>
        <v/>
      </c>
    </row>
    <row r="116"/>
    <row r="117">
      <c r="B117" t="inlineStr">
        <is>
          <t>Total AT (année)</t>
        </is>
      </c>
      <c r="D117">
        <f>COUNTA('5-Accidents du Travail'!C5:C104)</f>
        <v/>
      </c>
    </row>
    <row r="118">
      <c r="B118" t="inlineStr">
        <is>
          <t>Total MP (année)</t>
        </is>
      </c>
      <c r="D118">
        <f>COUNTA('6-Maladies Prof.'!C5:C104)</f>
        <v/>
      </c>
    </row>
    <row r="119">
      <c r="B119" t="inlineStr">
        <is>
          <t>Total visites (année)</t>
        </is>
      </c>
      <c r="D119">
        <f>COUNTA('7-Visites Medicales'!C5:C104)</f>
        <v/>
      </c>
    </row>
    <row r="120">
      <c r="B120" t="inlineStr">
        <is>
          <t>Formations réalisées</t>
        </is>
      </c>
      <c r="D120">
        <f>COUNTIF('17-Formation Securite'!L5:L104,"Realisee")</f>
        <v/>
      </c>
    </row>
    <row r="121">
      <c r="B121" t="inlineStr">
        <is>
          <t>Actions correctives en cours</t>
        </is>
      </c>
      <c r="D121">
        <f>COUNTIF('18-Actions Correct. SST'!M5:M104,"En cours")</f>
        <v/>
      </c>
    </row>
  </sheetData>
  <mergeCells count="3">
    <mergeCell ref="B3:I3"/>
    <mergeCell ref="B2:I2"/>
    <mergeCell ref="B113:I113"/>
  </mergeCells>
  <conditionalFormatting sqref="B12:B111">
    <cfRule type="expression" priority="1" dxfId="0">
      <formula>AND($C12="",$C11&lt;&gt;"")</formula>
    </cfRule>
  </conditionalFormatting>
  <conditionalFormatting sqref="C12:C111">
    <cfRule type="expression" priority="2" dxfId="0">
      <formula>AND($C12="",$C11&lt;&gt;"")</formula>
    </cfRule>
  </conditionalFormatting>
  <conditionalFormatting sqref="D12:D111">
    <cfRule type="expression" priority="3" dxfId="0">
      <formula>AND($C12="",$C11&lt;&gt;"")</formula>
    </cfRule>
  </conditionalFormatting>
  <conditionalFormatting sqref="E12:E111">
    <cfRule type="expression" priority="4" dxfId="0">
      <formula>AND($C12="",$C11&lt;&gt;"")</formula>
    </cfRule>
  </conditionalFormatting>
  <conditionalFormatting sqref="F12:F111">
    <cfRule type="expression" priority="5" dxfId="0">
      <formula>AND($C12="",$C11&lt;&gt;"")</formula>
    </cfRule>
  </conditionalFormatting>
  <conditionalFormatting sqref="G12:G111">
    <cfRule type="expression" priority="6" dxfId="0">
      <formula>AND($C12="",$C11&lt;&gt;"")</formula>
    </cfRule>
  </conditionalFormatting>
  <conditionalFormatting sqref="H12:H111">
    <cfRule type="expression" priority="7" dxfId="0">
      <formula>AND($C12="",$C11&lt;&gt;"")</formula>
    </cfRule>
  </conditionalFormatting>
  <conditionalFormatting sqref="I12:I111">
    <cfRule type="expression" priority="8" dxfId="0">
      <formula>AND($C12="",$C11&lt;&gt;"")</formula>
    </cfRule>
  </conditionalFormatting>
  <dataValidations count="1">
    <dataValidation sqref="D5:D111" showDropDown="0" showInputMessage="0" showErrorMessage="0" allowBlank="1" errorTitle="Erreur" error="Valeur invalide" promptTitle="Liste" prompt="Choisir dans la liste" type="list">
      <formula1>'_Lists'!$W$2:$W$4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8" customWidth="1" min="5" max="5"/>
    <col width="18" customWidth="1" min="6" max="6"/>
    <col width="22" customWidth="1" min="7" max="7"/>
    <col width="16" customWidth="1" min="8" max="8"/>
    <col width="44" customWidth="1" min="9" max="9"/>
    <col width="14" customWidth="1" min="10" max="10"/>
  </cols>
  <sheetData>
    <row r="1" ht="15" customHeight="1"/>
    <row r="2" ht="32" customHeight="1">
      <c r="B2" s="1" t="inlineStr">
        <is>
          <t>PLAN D'EVACUATION &amp; EXERCICES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Exercice</t>
        </is>
      </c>
      <c r="D4" s="10" t="inlineStr">
        <is>
          <t>Date Exercice</t>
        </is>
      </c>
      <c r="E4" s="10" t="inlineStr">
        <is>
          <t>Zone / Etage</t>
        </is>
      </c>
      <c r="F4" s="10" t="inlineStr">
        <is>
          <t>Nb Participants</t>
        </is>
      </c>
      <c r="G4" s="10" t="inlineStr">
        <is>
          <t>Temps Evacuation (min)</t>
        </is>
      </c>
      <c r="H4" s="10" t="inlineStr">
        <is>
          <t>Objectif (min)</t>
        </is>
      </c>
      <c r="I4" s="10" t="inlineStr">
        <is>
          <t>Constats / Anomalies</t>
        </is>
      </c>
      <c r="J4" s="10" t="inlineStr">
        <is>
          <t>Statut</t>
        </is>
      </c>
    </row>
    <row r="5" ht="22" customHeight="1">
      <c r="B5" s="11" t="inlineStr">
        <is>
          <t>EVAC-001</t>
        </is>
      </c>
      <c r="C5" s="11" t="inlineStr">
        <is>
          <t>Evacuation incendie</t>
        </is>
      </c>
      <c r="D5" s="28" t="n">
        <v>45703</v>
      </c>
      <c r="E5" s="11" t="inlineStr">
        <is>
          <t>Etage 1-2</t>
        </is>
      </c>
      <c r="F5" s="22" t="n">
        <v>45</v>
      </c>
      <c r="G5" s="30" t="n">
        <v>4.2</v>
      </c>
      <c r="H5" s="30" t="n">
        <v>5</v>
      </c>
      <c r="I5" s="11" t="inlineStr">
        <is>
          <t>Bon deboule, signalisation a ameliorer RDC</t>
        </is>
      </c>
      <c r="J5" s="11" t="inlineStr">
        <is>
          <t>Valide</t>
        </is>
      </c>
    </row>
    <row r="6" ht="22" customHeight="1">
      <c r="B6" s="13" t="inlineStr">
        <is>
          <t>EVAC-002</t>
        </is>
      </c>
      <c r="C6" s="13" t="inlineStr">
        <is>
          <t>Evacuation incendie</t>
        </is>
      </c>
      <c r="D6" s="29" t="n">
        <v>45787</v>
      </c>
      <c r="E6" s="13" t="inlineStr">
        <is>
          <t>Etage 3-4</t>
        </is>
      </c>
      <c r="F6" s="23" t="n">
        <v>38</v>
      </c>
      <c r="G6" s="31" t="n">
        <v>3.8</v>
      </c>
      <c r="H6" s="31" t="n">
        <v>5</v>
      </c>
      <c r="I6" s="13" t="inlineStr">
        <is>
          <t>Exercice reussi dans les temps</t>
        </is>
      </c>
      <c r="J6" s="13" t="inlineStr">
        <is>
          <t>Approuve</t>
        </is>
      </c>
    </row>
    <row r="7" ht="22" customHeight="1">
      <c r="B7" s="11" t="inlineStr">
        <is>
          <t>EVAC-003</t>
        </is>
      </c>
      <c r="C7" s="11" t="inlineStr">
        <is>
          <t>Evacuation generale</t>
        </is>
      </c>
      <c r="D7" s="28" t="n">
        <v>45828</v>
      </c>
      <c r="E7" s="11" t="inlineStr">
        <is>
          <t>Tous</t>
        </is>
      </c>
      <c r="F7" s="22" t="n">
        <v>120</v>
      </c>
      <c r="G7" s="30" t="n">
        <v>6.5</v>
      </c>
      <c r="H7" s="30" t="n">
        <v>5</v>
      </c>
      <c r="I7" s="11" t="inlineStr">
        <is>
          <t>Depassement objectif de 1.5 min, issue B2 bloquee</t>
        </is>
      </c>
      <c r="J7" s="11" t="inlineStr">
        <is>
          <t>Brouillon</t>
        </is>
      </c>
    </row>
    <row r="8" ht="22" customHeight="1">
      <c r="B8" s="13" t="inlineStr">
        <is>
          <t>EVAC-004</t>
        </is>
      </c>
      <c r="C8" s="13" t="inlineStr">
        <is>
          <t>Exercice alerte bombe</t>
        </is>
      </c>
      <c r="D8" s="29" t="n">
        <v>45616</v>
      </c>
      <c r="E8" s="13" t="inlineStr">
        <is>
          <t>Tous</t>
        </is>
      </c>
      <c r="F8" s="23" t="n">
        <v>110</v>
      </c>
      <c r="G8" s="31" t="n">
        <v>8</v>
      </c>
      <c r="H8" s="31" t="n">
        <v>7</v>
      </c>
      <c r="I8" s="13" t="inlineStr">
        <is>
          <t>Respect du protocole, communication a ameliorer</t>
        </is>
      </c>
      <c r="J8" s="13" t="inlineStr">
        <is>
          <t>Approuve</t>
        </is>
      </c>
    </row>
    <row r="9" ht="22" customHeight="1">
      <c r="B9" s="16">
        <f>IF(C9="","EVAC-"&amp;TEXT(COUNTA($C$5:C9),"000"))</f>
        <v/>
      </c>
      <c r="C9" s="11" t="n"/>
      <c r="D9" s="28" t="n"/>
      <c r="E9" s="11" t="n"/>
      <c r="F9" s="22" t="n"/>
      <c r="G9" s="30" t="n"/>
      <c r="H9" s="30" t="n"/>
      <c r="I9" s="11" t="n"/>
      <c r="J9" s="11" t="n"/>
    </row>
    <row r="10" ht="22" customHeight="1">
      <c r="B10" s="15">
        <f>IF(C10="","EVAC-"&amp;TEXT(COUNTA($C$5:C10),"000"))</f>
        <v/>
      </c>
      <c r="C10" s="13" t="n"/>
      <c r="D10" s="29" t="n"/>
      <c r="E10" s="13" t="n"/>
      <c r="F10" s="23" t="n"/>
      <c r="G10" s="31" t="n"/>
      <c r="H10" s="31" t="n"/>
      <c r="I10" s="13" t="n"/>
      <c r="J10" s="13" t="n"/>
    </row>
    <row r="11" ht="22" customHeight="1">
      <c r="B11" s="16">
        <f>IF(C11="","EVAC-"&amp;TEXT(COUNTA($C$5:C11),"000"))</f>
        <v/>
      </c>
      <c r="C11" s="11" t="n"/>
      <c r="D11" s="28" t="n"/>
      <c r="E11" s="11" t="n"/>
      <c r="F11" s="22" t="n"/>
      <c r="G11" s="30" t="n"/>
      <c r="H11" s="30" t="n"/>
      <c r="I11" s="11" t="n"/>
      <c r="J11" s="11" t="n"/>
    </row>
    <row r="12" ht="22" customHeight="1">
      <c r="B12" s="15">
        <f>IF(C12="","EVAC-"&amp;TEXT(COUNTA($C$5:C12),"000"))</f>
        <v/>
      </c>
      <c r="C12" s="13" t="n"/>
      <c r="D12" s="29" t="n"/>
      <c r="E12" s="13" t="n"/>
      <c r="F12" s="23" t="n"/>
      <c r="G12" s="31" t="n"/>
      <c r="H12" s="31" t="n"/>
      <c r="I12" s="13" t="n"/>
      <c r="J12" s="13" t="n"/>
    </row>
    <row r="13" ht="22" customHeight="1">
      <c r="B13" s="16">
        <f>IF(C13="","EVAC-"&amp;TEXT(COUNTA($C$5:C13),"000"))</f>
        <v/>
      </c>
      <c r="C13" s="11" t="n"/>
      <c r="D13" s="28" t="n"/>
      <c r="E13" s="11" t="n"/>
      <c r="F13" s="22" t="n"/>
      <c r="G13" s="30" t="n"/>
      <c r="H13" s="30" t="n"/>
      <c r="I13" s="11" t="n"/>
      <c r="J13" s="11" t="n"/>
    </row>
    <row r="14" ht="22" customHeight="1">
      <c r="B14" s="15">
        <f>IF(C14="","EVAC-"&amp;TEXT(COUNTA($C$5:C14),"000"))</f>
        <v/>
      </c>
      <c r="C14" s="13" t="n"/>
      <c r="D14" s="29" t="n"/>
      <c r="E14" s="13" t="n"/>
      <c r="F14" s="23" t="n"/>
      <c r="G14" s="31" t="n"/>
      <c r="H14" s="31" t="n"/>
      <c r="I14" s="13" t="n"/>
      <c r="J14" s="13" t="n"/>
    </row>
    <row r="15" ht="22" customHeight="1">
      <c r="B15" s="16">
        <f>IF(C15="","EVAC-"&amp;TEXT(COUNTA($C$5:C15),"000"))</f>
        <v/>
      </c>
      <c r="C15" s="11" t="n"/>
      <c r="D15" s="28" t="n"/>
      <c r="E15" s="11" t="n"/>
      <c r="F15" s="22" t="n"/>
      <c r="G15" s="30" t="n"/>
      <c r="H15" s="30" t="n"/>
      <c r="I15" s="11" t="n"/>
      <c r="J15" s="11" t="n"/>
    </row>
    <row r="16" ht="22" customHeight="1">
      <c r="B16" s="15">
        <f>IF(C16="","EVAC-"&amp;TEXT(COUNTA($C$5:C16),"000"))</f>
        <v/>
      </c>
      <c r="C16" s="13" t="n"/>
      <c r="D16" s="29" t="n"/>
      <c r="E16" s="13" t="n"/>
      <c r="F16" s="23" t="n"/>
      <c r="G16" s="31" t="n"/>
      <c r="H16" s="31" t="n"/>
      <c r="I16" s="13" t="n"/>
      <c r="J16" s="13" t="n"/>
    </row>
    <row r="17" ht="22" customHeight="1">
      <c r="B17" s="16">
        <f>IF(C17="","EVAC-"&amp;TEXT(COUNTA($C$5:C17),"000"))</f>
        <v/>
      </c>
      <c r="C17" s="11" t="n"/>
      <c r="D17" s="28" t="n"/>
      <c r="E17" s="11" t="n"/>
      <c r="F17" s="22" t="n"/>
      <c r="G17" s="30" t="n"/>
      <c r="H17" s="30" t="n"/>
      <c r="I17" s="11" t="n"/>
      <c r="J17" s="11" t="n"/>
    </row>
    <row r="18" ht="22" customHeight="1">
      <c r="B18" s="15">
        <f>IF(C18="","EVAC-"&amp;TEXT(COUNTA($C$5:C18),"000"))</f>
        <v/>
      </c>
      <c r="C18" s="13" t="n"/>
      <c r="D18" s="29" t="n"/>
      <c r="E18" s="13" t="n"/>
      <c r="F18" s="23" t="n"/>
      <c r="G18" s="31" t="n"/>
      <c r="H18" s="31" t="n"/>
      <c r="I18" s="13" t="n"/>
      <c r="J18" s="13" t="n"/>
    </row>
    <row r="19" ht="22" customHeight="1">
      <c r="B19" s="16">
        <f>IF(C19="","EVAC-"&amp;TEXT(COUNTA($C$5:C19),"000"))</f>
        <v/>
      </c>
      <c r="C19" s="11" t="n"/>
      <c r="D19" s="28" t="n"/>
      <c r="E19" s="11" t="n"/>
      <c r="F19" s="22" t="n"/>
      <c r="G19" s="30" t="n"/>
      <c r="H19" s="30" t="n"/>
      <c r="I19" s="11" t="n"/>
      <c r="J19" s="11" t="n"/>
    </row>
    <row r="20" ht="22" customHeight="1">
      <c r="B20" s="15">
        <f>IF(C20="","EVAC-"&amp;TEXT(COUNTA($C$5:C20),"000"))</f>
        <v/>
      </c>
      <c r="C20" s="13" t="n"/>
      <c r="D20" s="29" t="n"/>
      <c r="E20" s="13" t="n"/>
      <c r="F20" s="23" t="n"/>
      <c r="G20" s="31" t="n"/>
      <c r="H20" s="31" t="n"/>
      <c r="I20" s="13" t="n"/>
      <c r="J20" s="13" t="n"/>
    </row>
    <row r="21" ht="22" customHeight="1">
      <c r="B21" s="16">
        <f>IF(C21="","EVAC-"&amp;TEXT(COUNTA($C$5:C21),"000"))</f>
        <v/>
      </c>
      <c r="C21" s="11" t="n"/>
      <c r="D21" s="28" t="n"/>
      <c r="E21" s="11" t="n"/>
      <c r="F21" s="22" t="n"/>
      <c r="G21" s="30" t="n"/>
      <c r="H21" s="30" t="n"/>
      <c r="I21" s="11" t="n"/>
      <c r="J21" s="11" t="n"/>
    </row>
    <row r="22" ht="22" customHeight="1">
      <c r="B22" s="15">
        <f>IF(C22="","EVAC-"&amp;TEXT(COUNTA($C$5:C22),"000"))</f>
        <v/>
      </c>
      <c r="C22" s="13" t="n"/>
      <c r="D22" s="29" t="n"/>
      <c r="E22" s="13" t="n"/>
      <c r="F22" s="23" t="n"/>
      <c r="G22" s="31" t="n"/>
      <c r="H22" s="31" t="n"/>
      <c r="I22" s="13" t="n"/>
      <c r="J22" s="13" t="n"/>
    </row>
    <row r="23" ht="22" customHeight="1">
      <c r="B23" s="16">
        <f>IF(C23="","EVAC-"&amp;TEXT(COUNTA($C$5:C23),"000"))</f>
        <v/>
      </c>
      <c r="C23" s="11" t="n"/>
      <c r="D23" s="28" t="n"/>
      <c r="E23" s="11" t="n"/>
      <c r="F23" s="22" t="n"/>
      <c r="G23" s="30" t="n"/>
      <c r="H23" s="30" t="n"/>
      <c r="I23" s="11" t="n"/>
      <c r="J23" s="11" t="n"/>
    </row>
    <row r="24" ht="22" customHeight="1">
      <c r="B24" s="15">
        <f>IF(C24="","EVAC-"&amp;TEXT(COUNTA($C$5:C24),"000"))</f>
        <v/>
      </c>
      <c r="C24" s="13" t="n"/>
      <c r="D24" s="29" t="n"/>
      <c r="E24" s="13" t="n"/>
      <c r="F24" s="23" t="n"/>
      <c r="G24" s="31" t="n"/>
      <c r="H24" s="31" t="n"/>
      <c r="I24" s="13" t="n"/>
      <c r="J24" s="13" t="n"/>
    </row>
    <row r="25" ht="22" customHeight="1">
      <c r="B25" s="16">
        <f>IF(C25="","EVAC-"&amp;TEXT(COUNTA($C$5:C25),"000"))</f>
        <v/>
      </c>
      <c r="C25" s="11" t="n"/>
      <c r="D25" s="28" t="n"/>
      <c r="E25" s="11" t="n"/>
      <c r="F25" s="22" t="n"/>
      <c r="G25" s="30" t="n"/>
      <c r="H25" s="30" t="n"/>
      <c r="I25" s="11" t="n"/>
      <c r="J25" s="11" t="n"/>
    </row>
    <row r="26" ht="22" customHeight="1">
      <c r="B26" s="15">
        <f>IF(C26="","EVAC-"&amp;TEXT(COUNTA($C$5:C26),"000"))</f>
        <v/>
      </c>
      <c r="C26" s="13" t="n"/>
      <c r="D26" s="29" t="n"/>
      <c r="E26" s="13" t="n"/>
      <c r="F26" s="23" t="n"/>
      <c r="G26" s="31" t="n"/>
      <c r="H26" s="31" t="n"/>
      <c r="I26" s="13" t="n"/>
      <c r="J26" s="13" t="n"/>
    </row>
    <row r="27" ht="22" customHeight="1">
      <c r="B27" s="16">
        <f>IF(C27="","EVAC-"&amp;TEXT(COUNTA($C$5:C27),"000"))</f>
        <v/>
      </c>
      <c r="C27" s="11" t="n"/>
      <c r="D27" s="28" t="n"/>
      <c r="E27" s="11" t="n"/>
      <c r="F27" s="22" t="n"/>
      <c r="G27" s="30" t="n"/>
      <c r="H27" s="30" t="n"/>
      <c r="I27" s="11" t="n"/>
      <c r="J27" s="11" t="n"/>
    </row>
    <row r="28" ht="22" customHeight="1">
      <c r="B28" s="15">
        <f>IF(C28="","EVAC-"&amp;TEXT(COUNTA($C$5:C28),"000"))</f>
        <v/>
      </c>
      <c r="C28" s="13" t="n"/>
      <c r="D28" s="29" t="n"/>
      <c r="E28" s="13" t="n"/>
      <c r="F28" s="23" t="n"/>
      <c r="G28" s="31" t="n"/>
      <c r="H28" s="31" t="n"/>
      <c r="I28" s="13" t="n"/>
      <c r="J28" s="13" t="n"/>
    </row>
    <row r="29" ht="22" customHeight="1">
      <c r="B29" s="16">
        <f>IF(C29="","EVAC-"&amp;TEXT(COUNTA($C$5:C29),"000"))</f>
        <v/>
      </c>
      <c r="C29" s="11" t="n"/>
      <c r="D29" s="28" t="n"/>
      <c r="E29" s="11" t="n"/>
      <c r="F29" s="22" t="n"/>
      <c r="G29" s="30" t="n"/>
      <c r="H29" s="30" t="n"/>
      <c r="I29" s="11" t="n"/>
      <c r="J29" s="11" t="n"/>
    </row>
    <row r="30" ht="22" customHeight="1">
      <c r="B30" s="15">
        <f>IF(C30="","EVAC-"&amp;TEXT(COUNTA($C$5:C30),"000"))</f>
        <v/>
      </c>
      <c r="C30" s="13" t="n"/>
      <c r="D30" s="29" t="n"/>
      <c r="E30" s="13" t="n"/>
      <c r="F30" s="23" t="n"/>
      <c r="G30" s="31" t="n"/>
      <c r="H30" s="31" t="n"/>
      <c r="I30" s="13" t="n"/>
      <c r="J30" s="13" t="n"/>
    </row>
    <row r="31" ht="22" customHeight="1">
      <c r="B31" s="16">
        <f>IF(C31="","EVAC-"&amp;TEXT(COUNTA($C$5:C31),"000"))</f>
        <v/>
      </c>
      <c r="C31" s="11" t="n"/>
      <c r="D31" s="28" t="n"/>
      <c r="E31" s="11" t="n"/>
      <c r="F31" s="22" t="n"/>
      <c r="G31" s="30" t="n"/>
      <c r="H31" s="30" t="n"/>
      <c r="I31" s="11" t="n"/>
      <c r="J31" s="11" t="n"/>
    </row>
    <row r="32" ht="22" customHeight="1">
      <c r="B32" s="15">
        <f>IF(C32="","EVAC-"&amp;TEXT(COUNTA($C$5:C32),"000"))</f>
        <v/>
      </c>
      <c r="C32" s="13" t="n"/>
      <c r="D32" s="29" t="n"/>
      <c r="E32" s="13" t="n"/>
      <c r="F32" s="23" t="n"/>
      <c r="G32" s="31" t="n"/>
      <c r="H32" s="31" t="n"/>
      <c r="I32" s="13" t="n"/>
      <c r="J32" s="13" t="n"/>
    </row>
    <row r="33" ht="22" customHeight="1">
      <c r="B33" s="16">
        <f>IF(C33="","EVAC-"&amp;TEXT(COUNTA($C$5:C33),"000"))</f>
        <v/>
      </c>
      <c r="C33" s="11" t="n"/>
      <c r="D33" s="28" t="n"/>
      <c r="E33" s="11" t="n"/>
      <c r="F33" s="22" t="n"/>
      <c r="G33" s="30" t="n"/>
      <c r="H33" s="30" t="n"/>
      <c r="I33" s="11" t="n"/>
      <c r="J33" s="11" t="n"/>
    </row>
    <row r="34" ht="22" customHeight="1">
      <c r="B34" s="15">
        <f>IF(C34="","EVAC-"&amp;TEXT(COUNTA($C$5:C34),"000"))</f>
        <v/>
      </c>
      <c r="C34" s="13" t="n"/>
      <c r="D34" s="29" t="n"/>
      <c r="E34" s="13" t="n"/>
      <c r="F34" s="23" t="n"/>
      <c r="G34" s="31" t="n"/>
      <c r="H34" s="31" t="n"/>
      <c r="I34" s="13" t="n"/>
      <c r="J34" s="13" t="n"/>
    </row>
    <row r="35" ht="22" customHeight="1">
      <c r="B35" s="16">
        <f>IF(C35="","EVAC-"&amp;TEXT(COUNTA($C$5:C35),"000"))</f>
        <v/>
      </c>
      <c r="C35" s="11" t="n"/>
      <c r="D35" s="28" t="n"/>
      <c r="E35" s="11" t="n"/>
      <c r="F35" s="22" t="n"/>
      <c r="G35" s="30" t="n"/>
      <c r="H35" s="30" t="n"/>
      <c r="I35" s="11" t="n"/>
      <c r="J35" s="11" t="n"/>
    </row>
    <row r="36" ht="22" customHeight="1">
      <c r="B36" s="15">
        <f>IF(C36="","EVAC-"&amp;TEXT(COUNTA($C$5:C36),"000"))</f>
        <v/>
      </c>
      <c r="C36" s="13" t="n"/>
      <c r="D36" s="29" t="n"/>
      <c r="E36" s="13" t="n"/>
      <c r="F36" s="23" t="n"/>
      <c r="G36" s="31" t="n"/>
      <c r="H36" s="31" t="n"/>
      <c r="I36" s="13" t="n"/>
      <c r="J36" s="13" t="n"/>
    </row>
    <row r="37" ht="22" customHeight="1">
      <c r="B37" s="16">
        <f>IF(C37="","EVAC-"&amp;TEXT(COUNTA($C$5:C37),"000"))</f>
        <v/>
      </c>
      <c r="C37" s="11" t="n"/>
      <c r="D37" s="28" t="n"/>
      <c r="E37" s="11" t="n"/>
      <c r="F37" s="22" t="n"/>
      <c r="G37" s="30" t="n"/>
      <c r="H37" s="30" t="n"/>
      <c r="I37" s="11" t="n"/>
      <c r="J37" s="11" t="n"/>
    </row>
    <row r="38" ht="22" customHeight="1">
      <c r="B38" s="15">
        <f>IF(C38="","EVAC-"&amp;TEXT(COUNTA($C$5:C38),"000"))</f>
        <v/>
      </c>
      <c r="C38" s="13" t="n"/>
      <c r="D38" s="29" t="n"/>
      <c r="E38" s="13" t="n"/>
      <c r="F38" s="23" t="n"/>
      <c r="G38" s="31" t="n"/>
      <c r="H38" s="31" t="n"/>
      <c r="I38" s="13" t="n"/>
      <c r="J38" s="13" t="n"/>
    </row>
    <row r="39" ht="22" customHeight="1">
      <c r="B39" s="16">
        <f>IF(C39="","EVAC-"&amp;TEXT(COUNTA($C$5:C39),"000"))</f>
        <v/>
      </c>
      <c r="C39" s="11" t="n"/>
      <c r="D39" s="28" t="n"/>
      <c r="E39" s="11" t="n"/>
      <c r="F39" s="22" t="n"/>
      <c r="G39" s="30" t="n"/>
      <c r="H39" s="30" t="n"/>
      <c r="I39" s="11" t="n"/>
      <c r="J39" s="11" t="n"/>
    </row>
    <row r="40" ht="22" customHeight="1">
      <c r="B40" s="15">
        <f>IF(C40="","EVAC-"&amp;TEXT(COUNTA($C$5:C40),"000"))</f>
        <v/>
      </c>
      <c r="C40" s="13" t="n"/>
      <c r="D40" s="29" t="n"/>
      <c r="E40" s="13" t="n"/>
      <c r="F40" s="23" t="n"/>
      <c r="G40" s="31" t="n"/>
      <c r="H40" s="31" t="n"/>
      <c r="I40" s="13" t="n"/>
      <c r="J40" s="13" t="n"/>
    </row>
    <row r="41" ht="22" customHeight="1">
      <c r="B41" s="16">
        <f>IF(C41="","EVAC-"&amp;TEXT(COUNTA($C$5:C41),"000"))</f>
        <v/>
      </c>
      <c r="C41" s="11" t="n"/>
      <c r="D41" s="28" t="n"/>
      <c r="E41" s="11" t="n"/>
      <c r="F41" s="22" t="n"/>
      <c r="G41" s="30" t="n"/>
      <c r="H41" s="30" t="n"/>
      <c r="I41" s="11" t="n"/>
      <c r="J41" s="11" t="n"/>
    </row>
    <row r="42" ht="22" customHeight="1">
      <c r="B42" s="15">
        <f>IF(C42="","EVAC-"&amp;TEXT(COUNTA($C$5:C42),"000"))</f>
        <v/>
      </c>
      <c r="C42" s="13" t="n"/>
      <c r="D42" s="29" t="n"/>
      <c r="E42" s="13" t="n"/>
      <c r="F42" s="23" t="n"/>
      <c r="G42" s="31" t="n"/>
      <c r="H42" s="31" t="n"/>
      <c r="I42" s="13" t="n"/>
      <c r="J42" s="13" t="n"/>
    </row>
    <row r="43" ht="22" customHeight="1">
      <c r="B43" s="16">
        <f>IF(C43="","EVAC-"&amp;TEXT(COUNTA($C$5:C43),"000"))</f>
        <v/>
      </c>
      <c r="C43" s="11" t="n"/>
      <c r="D43" s="28" t="n"/>
      <c r="E43" s="11" t="n"/>
      <c r="F43" s="22" t="n"/>
      <c r="G43" s="30" t="n"/>
      <c r="H43" s="30" t="n"/>
      <c r="I43" s="11" t="n"/>
      <c r="J43" s="11" t="n"/>
    </row>
    <row r="44" ht="22" customHeight="1">
      <c r="B44" s="15">
        <f>IF(C44="","EVAC-"&amp;TEXT(COUNTA($C$5:C44),"000"))</f>
        <v/>
      </c>
      <c r="C44" s="13" t="n"/>
      <c r="D44" s="29" t="n"/>
      <c r="E44" s="13" t="n"/>
      <c r="F44" s="23" t="n"/>
      <c r="G44" s="31" t="n"/>
      <c r="H44" s="31" t="n"/>
      <c r="I44" s="13" t="n"/>
      <c r="J44" s="13" t="n"/>
    </row>
    <row r="45" ht="22" customHeight="1">
      <c r="B45" s="16">
        <f>IF(C45="","EVAC-"&amp;TEXT(COUNTA($C$5:C45),"000"))</f>
        <v/>
      </c>
      <c r="C45" s="11" t="n"/>
      <c r="D45" s="28" t="n"/>
      <c r="E45" s="11" t="n"/>
      <c r="F45" s="22" t="n"/>
      <c r="G45" s="30" t="n"/>
      <c r="H45" s="30" t="n"/>
      <c r="I45" s="11" t="n"/>
      <c r="J45" s="11" t="n"/>
    </row>
    <row r="46" ht="22" customHeight="1">
      <c r="B46" s="15">
        <f>IF(C46="","EVAC-"&amp;TEXT(COUNTA($C$5:C46),"000"))</f>
        <v/>
      </c>
      <c r="C46" s="13" t="n"/>
      <c r="D46" s="29" t="n"/>
      <c r="E46" s="13" t="n"/>
      <c r="F46" s="23" t="n"/>
      <c r="G46" s="31" t="n"/>
      <c r="H46" s="31" t="n"/>
      <c r="I46" s="13" t="n"/>
      <c r="J46" s="13" t="n"/>
    </row>
    <row r="47" ht="22" customHeight="1">
      <c r="B47" s="16">
        <f>IF(C47="","EVAC-"&amp;TEXT(COUNTA($C$5:C47),"000"))</f>
        <v/>
      </c>
      <c r="C47" s="11" t="n"/>
      <c r="D47" s="28" t="n"/>
      <c r="E47" s="11" t="n"/>
      <c r="F47" s="22" t="n"/>
      <c r="G47" s="30" t="n"/>
      <c r="H47" s="30" t="n"/>
      <c r="I47" s="11" t="n"/>
      <c r="J47" s="11" t="n"/>
    </row>
    <row r="48" ht="22" customHeight="1">
      <c r="B48" s="15">
        <f>IF(C48="","EVAC-"&amp;TEXT(COUNTA($C$5:C48),"000"))</f>
        <v/>
      </c>
      <c r="C48" s="13" t="n"/>
      <c r="D48" s="29" t="n"/>
      <c r="E48" s="13" t="n"/>
      <c r="F48" s="23" t="n"/>
      <c r="G48" s="31" t="n"/>
      <c r="H48" s="31" t="n"/>
      <c r="I48" s="13" t="n"/>
      <c r="J48" s="13" t="n"/>
    </row>
    <row r="49" ht="22" customHeight="1">
      <c r="B49" s="16">
        <f>IF(C49="","EVAC-"&amp;TEXT(COUNTA($C$5:C49),"000"))</f>
        <v/>
      </c>
      <c r="C49" s="11" t="n"/>
      <c r="D49" s="28" t="n"/>
      <c r="E49" s="11" t="n"/>
      <c r="F49" s="22" t="n"/>
      <c r="G49" s="30" t="n"/>
      <c r="H49" s="30" t="n"/>
      <c r="I49" s="11" t="n"/>
      <c r="J49" s="11" t="n"/>
    </row>
    <row r="50" ht="22" customHeight="1">
      <c r="B50" s="15">
        <f>IF(C50="","EVAC-"&amp;TEXT(COUNTA($C$5:C50),"000"))</f>
        <v/>
      </c>
      <c r="C50" s="13" t="n"/>
      <c r="D50" s="29" t="n"/>
      <c r="E50" s="13" t="n"/>
      <c r="F50" s="23" t="n"/>
      <c r="G50" s="31" t="n"/>
      <c r="H50" s="31" t="n"/>
      <c r="I50" s="13" t="n"/>
      <c r="J50" s="13" t="n"/>
    </row>
    <row r="51" ht="22" customHeight="1">
      <c r="B51" s="16">
        <f>IF(C51="","EVAC-"&amp;TEXT(COUNTA($C$5:C51),"000"))</f>
        <v/>
      </c>
      <c r="C51" s="11" t="n"/>
      <c r="D51" s="28" t="n"/>
      <c r="E51" s="11" t="n"/>
      <c r="F51" s="22" t="n"/>
      <c r="G51" s="30" t="n"/>
      <c r="H51" s="30" t="n"/>
      <c r="I51" s="11" t="n"/>
      <c r="J51" s="11" t="n"/>
    </row>
    <row r="52" ht="22" customHeight="1">
      <c r="B52" s="15">
        <f>IF(C52="","EVAC-"&amp;TEXT(COUNTA($C$5:C52),"000"))</f>
        <v/>
      </c>
      <c r="C52" s="13" t="n"/>
      <c r="D52" s="29" t="n"/>
      <c r="E52" s="13" t="n"/>
      <c r="F52" s="23" t="n"/>
      <c r="G52" s="31" t="n"/>
      <c r="H52" s="31" t="n"/>
      <c r="I52" s="13" t="n"/>
      <c r="J52" s="13" t="n"/>
    </row>
    <row r="53" ht="22" customHeight="1">
      <c r="B53" s="16">
        <f>IF(C53="","EVAC-"&amp;TEXT(COUNTA($C$5:C53),"000"))</f>
        <v/>
      </c>
      <c r="C53" s="11" t="n"/>
      <c r="D53" s="28" t="n"/>
      <c r="E53" s="11" t="n"/>
      <c r="F53" s="22" t="n"/>
      <c r="G53" s="30" t="n"/>
      <c r="H53" s="30" t="n"/>
      <c r="I53" s="11" t="n"/>
      <c r="J53" s="11" t="n"/>
    </row>
    <row r="54" ht="22" customHeight="1">
      <c r="B54" s="15">
        <f>IF(C54="","EVAC-"&amp;TEXT(COUNTA($C$5:C54),"000"))</f>
        <v/>
      </c>
      <c r="C54" s="13" t="n"/>
      <c r="D54" s="29" t="n"/>
      <c r="E54" s="13" t="n"/>
      <c r="F54" s="23" t="n"/>
      <c r="G54" s="31" t="n"/>
      <c r="H54" s="31" t="n"/>
      <c r="I54" s="13" t="n"/>
      <c r="J54" s="13" t="n"/>
    </row>
    <row r="55" ht="22" customHeight="1">
      <c r="B55" s="16">
        <f>IF(C55="","EVAC-"&amp;TEXT(COUNTA($C$5:C55),"000"))</f>
        <v/>
      </c>
      <c r="C55" s="11" t="n"/>
      <c r="D55" s="28" t="n"/>
      <c r="E55" s="11" t="n"/>
      <c r="F55" s="22" t="n"/>
      <c r="G55" s="30" t="n"/>
      <c r="H55" s="30" t="n"/>
      <c r="I55" s="11" t="n"/>
      <c r="J55" s="11" t="n"/>
    </row>
    <row r="56" ht="22" customHeight="1">
      <c r="B56" s="15">
        <f>IF(C56="","EVAC-"&amp;TEXT(COUNTA($C$5:C56),"000"))</f>
        <v/>
      </c>
      <c r="C56" s="13" t="n"/>
      <c r="D56" s="29" t="n"/>
      <c r="E56" s="13" t="n"/>
      <c r="F56" s="23" t="n"/>
      <c r="G56" s="31" t="n"/>
      <c r="H56" s="31" t="n"/>
      <c r="I56" s="13" t="n"/>
      <c r="J56" s="13" t="n"/>
    </row>
    <row r="57" ht="22" customHeight="1">
      <c r="B57" s="16">
        <f>IF(C57="","EVAC-"&amp;TEXT(COUNTA($C$5:C57),"000"))</f>
        <v/>
      </c>
      <c r="C57" s="11" t="n"/>
      <c r="D57" s="28" t="n"/>
      <c r="E57" s="11" t="n"/>
      <c r="F57" s="22" t="n"/>
      <c r="G57" s="30" t="n"/>
      <c r="H57" s="30" t="n"/>
      <c r="I57" s="11" t="n"/>
      <c r="J57" s="11" t="n"/>
    </row>
    <row r="58" ht="22" customHeight="1">
      <c r="B58" s="15">
        <f>IF(C58="","EVAC-"&amp;TEXT(COUNTA($C$5:C58),"000"))</f>
        <v/>
      </c>
      <c r="C58" s="13" t="n"/>
      <c r="D58" s="29" t="n"/>
      <c r="E58" s="13" t="n"/>
      <c r="F58" s="23" t="n"/>
      <c r="G58" s="31" t="n"/>
      <c r="H58" s="31" t="n"/>
      <c r="I58" s="13" t="n"/>
      <c r="J58" s="13" t="n"/>
    </row>
    <row r="59" ht="22" customHeight="1">
      <c r="B59" s="16">
        <f>IF(C59="","EVAC-"&amp;TEXT(COUNTA($C$5:C59),"000"))</f>
        <v/>
      </c>
      <c r="C59" s="11" t="n"/>
      <c r="D59" s="28" t="n"/>
      <c r="E59" s="11" t="n"/>
      <c r="F59" s="22" t="n"/>
      <c r="G59" s="30" t="n"/>
      <c r="H59" s="30" t="n"/>
      <c r="I59" s="11" t="n"/>
      <c r="J59" s="11" t="n"/>
    </row>
    <row r="60" ht="22" customHeight="1">
      <c r="B60" s="15">
        <f>IF(C60="","EVAC-"&amp;TEXT(COUNTA($C$5:C60),"000"))</f>
        <v/>
      </c>
      <c r="C60" s="13" t="n"/>
      <c r="D60" s="29" t="n"/>
      <c r="E60" s="13" t="n"/>
      <c r="F60" s="23" t="n"/>
      <c r="G60" s="31" t="n"/>
      <c r="H60" s="31" t="n"/>
      <c r="I60" s="13" t="n"/>
      <c r="J60" s="13" t="n"/>
    </row>
    <row r="61" ht="22" customHeight="1">
      <c r="B61" s="16">
        <f>IF(C61="","EVAC-"&amp;TEXT(COUNTA($C$5:C61),"000"))</f>
        <v/>
      </c>
      <c r="C61" s="11" t="n"/>
      <c r="D61" s="28" t="n"/>
      <c r="E61" s="11" t="n"/>
      <c r="F61" s="22" t="n"/>
      <c r="G61" s="30" t="n"/>
      <c r="H61" s="30" t="n"/>
      <c r="I61" s="11" t="n"/>
      <c r="J61" s="11" t="n"/>
    </row>
    <row r="62" ht="22" customHeight="1">
      <c r="B62" s="15">
        <f>IF(C62="","EVAC-"&amp;TEXT(COUNTA($C$5:C62),"000"))</f>
        <v/>
      </c>
      <c r="C62" s="13" t="n"/>
      <c r="D62" s="29" t="n"/>
      <c r="E62" s="13" t="n"/>
      <c r="F62" s="23" t="n"/>
      <c r="G62" s="31" t="n"/>
      <c r="H62" s="31" t="n"/>
      <c r="I62" s="13" t="n"/>
      <c r="J62" s="13" t="n"/>
    </row>
    <row r="63" ht="22" customHeight="1">
      <c r="B63" s="16">
        <f>IF(C63="","EVAC-"&amp;TEXT(COUNTA($C$5:C63),"000"))</f>
        <v/>
      </c>
      <c r="C63" s="11" t="n"/>
      <c r="D63" s="28" t="n"/>
      <c r="E63" s="11" t="n"/>
      <c r="F63" s="22" t="n"/>
      <c r="G63" s="30" t="n"/>
      <c r="H63" s="30" t="n"/>
      <c r="I63" s="11" t="n"/>
      <c r="J63" s="11" t="n"/>
    </row>
    <row r="64" ht="22" customHeight="1">
      <c r="B64" s="15">
        <f>IF(C64="","EVAC-"&amp;TEXT(COUNTA($C$5:C64),"000"))</f>
        <v/>
      </c>
      <c r="C64" s="13" t="n"/>
      <c r="D64" s="29" t="n"/>
      <c r="E64" s="13" t="n"/>
      <c r="F64" s="23" t="n"/>
      <c r="G64" s="31" t="n"/>
      <c r="H64" s="31" t="n"/>
      <c r="I64" s="13" t="n"/>
      <c r="J64" s="13" t="n"/>
    </row>
    <row r="65" ht="22" customHeight="1">
      <c r="B65" s="16">
        <f>IF(C65="","EVAC-"&amp;TEXT(COUNTA($C$5:C65),"000"))</f>
        <v/>
      </c>
      <c r="C65" s="11" t="n"/>
      <c r="D65" s="28" t="n"/>
      <c r="E65" s="11" t="n"/>
      <c r="F65" s="22" t="n"/>
      <c r="G65" s="30" t="n"/>
      <c r="H65" s="30" t="n"/>
      <c r="I65" s="11" t="n"/>
      <c r="J65" s="11" t="n"/>
    </row>
    <row r="66" ht="22" customHeight="1">
      <c r="B66" s="15">
        <f>IF(C66="","EVAC-"&amp;TEXT(COUNTA($C$5:C66),"000"))</f>
        <v/>
      </c>
      <c r="C66" s="13" t="n"/>
      <c r="D66" s="29" t="n"/>
      <c r="E66" s="13" t="n"/>
      <c r="F66" s="23" t="n"/>
      <c r="G66" s="31" t="n"/>
      <c r="H66" s="31" t="n"/>
      <c r="I66" s="13" t="n"/>
      <c r="J66" s="13" t="n"/>
    </row>
    <row r="67" ht="22" customHeight="1">
      <c r="B67" s="16">
        <f>IF(C67="","EVAC-"&amp;TEXT(COUNTA($C$5:C67),"000"))</f>
        <v/>
      </c>
      <c r="C67" s="11" t="n"/>
      <c r="D67" s="28" t="n"/>
      <c r="E67" s="11" t="n"/>
      <c r="F67" s="22" t="n"/>
      <c r="G67" s="30" t="n"/>
      <c r="H67" s="30" t="n"/>
      <c r="I67" s="11" t="n"/>
      <c r="J67" s="11" t="n"/>
    </row>
    <row r="68" ht="22" customHeight="1">
      <c r="B68" s="15">
        <f>IF(C68="","EVAC-"&amp;TEXT(COUNTA($C$5:C68),"000"))</f>
        <v/>
      </c>
      <c r="C68" s="13" t="n"/>
      <c r="D68" s="29" t="n"/>
      <c r="E68" s="13" t="n"/>
      <c r="F68" s="23" t="n"/>
      <c r="G68" s="31" t="n"/>
      <c r="H68" s="31" t="n"/>
      <c r="I68" s="13" t="n"/>
      <c r="J68" s="13" t="n"/>
    </row>
    <row r="69" ht="22" customHeight="1">
      <c r="B69" s="16">
        <f>IF(C69="","EVAC-"&amp;TEXT(COUNTA($C$5:C69),"000"))</f>
        <v/>
      </c>
      <c r="C69" s="11" t="n"/>
      <c r="D69" s="28" t="n"/>
      <c r="E69" s="11" t="n"/>
      <c r="F69" s="22" t="n"/>
      <c r="G69" s="30" t="n"/>
      <c r="H69" s="30" t="n"/>
      <c r="I69" s="11" t="n"/>
      <c r="J69" s="11" t="n"/>
    </row>
    <row r="70" ht="22" customHeight="1">
      <c r="B70" s="15">
        <f>IF(C70="","EVAC-"&amp;TEXT(COUNTA($C$5:C70),"000"))</f>
        <v/>
      </c>
      <c r="C70" s="13" t="n"/>
      <c r="D70" s="29" t="n"/>
      <c r="E70" s="13" t="n"/>
      <c r="F70" s="23" t="n"/>
      <c r="G70" s="31" t="n"/>
      <c r="H70" s="31" t="n"/>
      <c r="I70" s="13" t="n"/>
      <c r="J70" s="13" t="n"/>
    </row>
    <row r="71" ht="22" customHeight="1">
      <c r="B71" s="16">
        <f>IF(C71="","EVAC-"&amp;TEXT(COUNTA($C$5:C71),"000"))</f>
        <v/>
      </c>
      <c r="C71" s="11" t="n"/>
      <c r="D71" s="28" t="n"/>
      <c r="E71" s="11" t="n"/>
      <c r="F71" s="22" t="n"/>
      <c r="G71" s="30" t="n"/>
      <c r="H71" s="30" t="n"/>
      <c r="I71" s="11" t="n"/>
      <c r="J71" s="11" t="n"/>
    </row>
    <row r="72" ht="22" customHeight="1">
      <c r="B72" s="15">
        <f>IF(C72="","EVAC-"&amp;TEXT(COUNTA($C$5:C72),"000"))</f>
        <v/>
      </c>
      <c r="C72" s="13" t="n"/>
      <c r="D72" s="29" t="n"/>
      <c r="E72" s="13" t="n"/>
      <c r="F72" s="23" t="n"/>
      <c r="G72" s="31" t="n"/>
      <c r="H72" s="31" t="n"/>
      <c r="I72" s="13" t="n"/>
      <c r="J72" s="13" t="n"/>
    </row>
    <row r="73" ht="22" customHeight="1">
      <c r="B73" s="16">
        <f>IF(C73="","EVAC-"&amp;TEXT(COUNTA($C$5:C73),"000"))</f>
        <v/>
      </c>
      <c r="C73" s="11" t="n"/>
      <c r="D73" s="28" t="n"/>
      <c r="E73" s="11" t="n"/>
      <c r="F73" s="22" t="n"/>
      <c r="G73" s="30" t="n"/>
      <c r="H73" s="30" t="n"/>
      <c r="I73" s="11" t="n"/>
      <c r="J73" s="11" t="n"/>
    </row>
    <row r="74" ht="22" customHeight="1">
      <c r="B74" s="15">
        <f>IF(C74="","EVAC-"&amp;TEXT(COUNTA($C$5:C74),"000"))</f>
        <v/>
      </c>
      <c r="C74" s="13" t="n"/>
      <c r="D74" s="29" t="n"/>
      <c r="E74" s="13" t="n"/>
      <c r="F74" s="23" t="n"/>
      <c r="G74" s="31" t="n"/>
      <c r="H74" s="31" t="n"/>
      <c r="I74" s="13" t="n"/>
      <c r="J74" s="13" t="n"/>
    </row>
    <row r="75" ht="22" customHeight="1">
      <c r="B75" s="16">
        <f>IF(C75="","EVAC-"&amp;TEXT(COUNTA($C$5:C75),"000"))</f>
        <v/>
      </c>
      <c r="C75" s="11" t="n"/>
      <c r="D75" s="28" t="n"/>
      <c r="E75" s="11" t="n"/>
      <c r="F75" s="22" t="n"/>
      <c r="G75" s="30" t="n"/>
      <c r="H75" s="30" t="n"/>
      <c r="I75" s="11" t="n"/>
      <c r="J75" s="11" t="n"/>
    </row>
    <row r="76" ht="22" customHeight="1">
      <c r="B76" s="15">
        <f>IF(C76="","EVAC-"&amp;TEXT(COUNTA($C$5:C76),"000"))</f>
        <v/>
      </c>
      <c r="C76" s="13" t="n"/>
      <c r="D76" s="29" t="n"/>
      <c r="E76" s="13" t="n"/>
      <c r="F76" s="23" t="n"/>
      <c r="G76" s="31" t="n"/>
      <c r="H76" s="31" t="n"/>
      <c r="I76" s="13" t="n"/>
      <c r="J76" s="13" t="n"/>
    </row>
    <row r="77" ht="22" customHeight="1">
      <c r="B77" s="16">
        <f>IF(C77="","EVAC-"&amp;TEXT(COUNTA($C$5:C77),"000"))</f>
        <v/>
      </c>
      <c r="C77" s="11" t="n"/>
      <c r="D77" s="28" t="n"/>
      <c r="E77" s="11" t="n"/>
      <c r="F77" s="22" t="n"/>
      <c r="G77" s="30" t="n"/>
      <c r="H77" s="30" t="n"/>
      <c r="I77" s="11" t="n"/>
      <c r="J77" s="11" t="n"/>
    </row>
    <row r="78" ht="22" customHeight="1">
      <c r="B78" s="15">
        <f>IF(C78="","EVAC-"&amp;TEXT(COUNTA($C$5:C78),"000"))</f>
        <v/>
      </c>
      <c r="C78" s="13" t="n"/>
      <c r="D78" s="29" t="n"/>
      <c r="E78" s="13" t="n"/>
      <c r="F78" s="23" t="n"/>
      <c r="G78" s="31" t="n"/>
      <c r="H78" s="31" t="n"/>
      <c r="I78" s="13" t="n"/>
      <c r="J78" s="13" t="n"/>
    </row>
    <row r="79" ht="22" customHeight="1">
      <c r="B79" s="16">
        <f>IF(C79="","EVAC-"&amp;TEXT(COUNTA($C$5:C79),"000"))</f>
        <v/>
      </c>
      <c r="C79" s="11" t="n"/>
      <c r="D79" s="28" t="n"/>
      <c r="E79" s="11" t="n"/>
      <c r="F79" s="22" t="n"/>
      <c r="G79" s="30" t="n"/>
      <c r="H79" s="30" t="n"/>
      <c r="I79" s="11" t="n"/>
      <c r="J79" s="11" t="n"/>
    </row>
    <row r="80" ht="22" customHeight="1">
      <c r="B80" s="15">
        <f>IF(C80="","EVAC-"&amp;TEXT(COUNTA($C$5:C80),"000"))</f>
        <v/>
      </c>
      <c r="C80" s="13" t="n"/>
      <c r="D80" s="29" t="n"/>
      <c r="E80" s="13" t="n"/>
      <c r="F80" s="23" t="n"/>
      <c r="G80" s="31" t="n"/>
      <c r="H80" s="31" t="n"/>
      <c r="I80" s="13" t="n"/>
      <c r="J80" s="13" t="n"/>
    </row>
    <row r="81" ht="22" customHeight="1">
      <c r="B81" s="16">
        <f>IF(C81="","EVAC-"&amp;TEXT(COUNTA($C$5:C81),"000"))</f>
        <v/>
      </c>
      <c r="C81" s="11" t="n"/>
      <c r="D81" s="28" t="n"/>
      <c r="E81" s="11" t="n"/>
      <c r="F81" s="22" t="n"/>
      <c r="G81" s="30" t="n"/>
      <c r="H81" s="30" t="n"/>
      <c r="I81" s="11" t="n"/>
      <c r="J81" s="11" t="n"/>
    </row>
    <row r="82" ht="22" customHeight="1">
      <c r="B82" s="15">
        <f>IF(C82="","EVAC-"&amp;TEXT(COUNTA($C$5:C82),"000"))</f>
        <v/>
      </c>
      <c r="C82" s="13" t="n"/>
      <c r="D82" s="29" t="n"/>
      <c r="E82" s="13" t="n"/>
      <c r="F82" s="23" t="n"/>
      <c r="G82" s="31" t="n"/>
      <c r="H82" s="31" t="n"/>
      <c r="I82" s="13" t="n"/>
      <c r="J82" s="13" t="n"/>
    </row>
    <row r="83" ht="22" customHeight="1">
      <c r="B83" s="16">
        <f>IF(C83="","EVAC-"&amp;TEXT(COUNTA($C$5:C83),"000"))</f>
        <v/>
      </c>
      <c r="C83" s="11" t="n"/>
      <c r="D83" s="28" t="n"/>
      <c r="E83" s="11" t="n"/>
      <c r="F83" s="22" t="n"/>
      <c r="G83" s="30" t="n"/>
      <c r="H83" s="30" t="n"/>
      <c r="I83" s="11" t="n"/>
      <c r="J83" s="11" t="n"/>
    </row>
    <row r="84" ht="22" customHeight="1">
      <c r="B84" s="15">
        <f>IF(C84="","EVAC-"&amp;TEXT(COUNTA($C$5:C84),"000"))</f>
        <v/>
      </c>
      <c r="C84" s="13" t="n"/>
      <c r="D84" s="29" t="n"/>
      <c r="E84" s="13" t="n"/>
      <c r="F84" s="23" t="n"/>
      <c r="G84" s="31" t="n"/>
      <c r="H84" s="31" t="n"/>
      <c r="I84" s="13" t="n"/>
      <c r="J84" s="13" t="n"/>
    </row>
    <row r="85" ht="22" customHeight="1">
      <c r="B85" s="16">
        <f>IF(C85="","EVAC-"&amp;TEXT(COUNTA($C$5:C85),"000"))</f>
        <v/>
      </c>
      <c r="C85" s="11" t="n"/>
      <c r="D85" s="28" t="n"/>
      <c r="E85" s="11" t="n"/>
      <c r="F85" s="22" t="n"/>
      <c r="G85" s="30" t="n"/>
      <c r="H85" s="30" t="n"/>
      <c r="I85" s="11" t="n"/>
      <c r="J85" s="11" t="n"/>
    </row>
    <row r="86" ht="22" customHeight="1">
      <c r="B86" s="15">
        <f>IF(C86="","EVAC-"&amp;TEXT(COUNTA($C$5:C86),"000"))</f>
        <v/>
      </c>
      <c r="C86" s="13" t="n"/>
      <c r="D86" s="29" t="n"/>
      <c r="E86" s="13" t="n"/>
      <c r="F86" s="23" t="n"/>
      <c r="G86" s="31" t="n"/>
      <c r="H86" s="31" t="n"/>
      <c r="I86" s="13" t="n"/>
      <c r="J86" s="13" t="n"/>
    </row>
    <row r="87" ht="22" customHeight="1">
      <c r="B87" s="16">
        <f>IF(C87="","EVAC-"&amp;TEXT(COUNTA($C$5:C87),"000"))</f>
        <v/>
      </c>
      <c r="C87" s="11" t="n"/>
      <c r="D87" s="28" t="n"/>
      <c r="E87" s="11" t="n"/>
      <c r="F87" s="22" t="n"/>
      <c r="G87" s="30" t="n"/>
      <c r="H87" s="30" t="n"/>
      <c r="I87" s="11" t="n"/>
      <c r="J87" s="11" t="n"/>
    </row>
    <row r="88" ht="22" customHeight="1">
      <c r="B88" s="15">
        <f>IF(C88="","EVAC-"&amp;TEXT(COUNTA($C$5:C88),"000"))</f>
        <v/>
      </c>
      <c r="C88" s="13" t="n"/>
      <c r="D88" s="29" t="n"/>
      <c r="E88" s="13" t="n"/>
      <c r="F88" s="23" t="n"/>
      <c r="G88" s="31" t="n"/>
      <c r="H88" s="31" t="n"/>
      <c r="I88" s="13" t="n"/>
      <c r="J88" s="13" t="n"/>
    </row>
    <row r="89" ht="22" customHeight="1">
      <c r="B89" s="16">
        <f>IF(C89="","EVAC-"&amp;TEXT(COUNTA($C$5:C89),"000"))</f>
        <v/>
      </c>
      <c r="C89" s="11" t="n"/>
      <c r="D89" s="28" t="n"/>
      <c r="E89" s="11" t="n"/>
      <c r="F89" s="22" t="n"/>
      <c r="G89" s="30" t="n"/>
      <c r="H89" s="30" t="n"/>
      <c r="I89" s="11" t="n"/>
      <c r="J89" s="11" t="n"/>
    </row>
    <row r="90" ht="22" customHeight="1">
      <c r="B90" s="15">
        <f>IF(C90="","EVAC-"&amp;TEXT(COUNTA($C$5:C90),"000"))</f>
        <v/>
      </c>
      <c r="C90" s="13" t="n"/>
      <c r="D90" s="29" t="n"/>
      <c r="E90" s="13" t="n"/>
      <c r="F90" s="23" t="n"/>
      <c r="G90" s="31" t="n"/>
      <c r="H90" s="31" t="n"/>
      <c r="I90" s="13" t="n"/>
      <c r="J90" s="13" t="n"/>
    </row>
    <row r="91" ht="22" customHeight="1">
      <c r="B91" s="16">
        <f>IF(C91="","EVAC-"&amp;TEXT(COUNTA($C$5:C91),"000"))</f>
        <v/>
      </c>
      <c r="C91" s="11" t="n"/>
      <c r="D91" s="28" t="n"/>
      <c r="E91" s="11" t="n"/>
      <c r="F91" s="22" t="n"/>
      <c r="G91" s="30" t="n"/>
      <c r="H91" s="30" t="n"/>
      <c r="I91" s="11" t="n"/>
      <c r="J91" s="11" t="n"/>
    </row>
    <row r="92" ht="22" customHeight="1">
      <c r="B92" s="15">
        <f>IF(C92="","EVAC-"&amp;TEXT(COUNTA($C$5:C92),"000"))</f>
        <v/>
      </c>
      <c r="C92" s="13" t="n"/>
      <c r="D92" s="29" t="n"/>
      <c r="E92" s="13" t="n"/>
      <c r="F92" s="23" t="n"/>
      <c r="G92" s="31" t="n"/>
      <c r="H92" s="31" t="n"/>
      <c r="I92" s="13" t="n"/>
      <c r="J92" s="13" t="n"/>
    </row>
    <row r="93" ht="22" customHeight="1">
      <c r="B93" s="16">
        <f>IF(C93="","EVAC-"&amp;TEXT(COUNTA($C$5:C93),"000"))</f>
        <v/>
      </c>
      <c r="C93" s="11" t="n"/>
      <c r="D93" s="28" t="n"/>
      <c r="E93" s="11" t="n"/>
      <c r="F93" s="22" t="n"/>
      <c r="G93" s="30" t="n"/>
      <c r="H93" s="30" t="n"/>
      <c r="I93" s="11" t="n"/>
      <c r="J93" s="11" t="n"/>
    </row>
    <row r="94" ht="22" customHeight="1">
      <c r="B94" s="15">
        <f>IF(C94="","EVAC-"&amp;TEXT(COUNTA($C$5:C94),"000"))</f>
        <v/>
      </c>
      <c r="C94" s="13" t="n"/>
      <c r="D94" s="29" t="n"/>
      <c r="E94" s="13" t="n"/>
      <c r="F94" s="23" t="n"/>
      <c r="G94" s="31" t="n"/>
      <c r="H94" s="31" t="n"/>
      <c r="I94" s="13" t="n"/>
      <c r="J94" s="13" t="n"/>
    </row>
    <row r="95" ht="22" customHeight="1">
      <c r="B95" s="16">
        <f>IF(C95="","EVAC-"&amp;TEXT(COUNTA($C$5:C95),"000"))</f>
        <v/>
      </c>
      <c r="C95" s="11" t="n"/>
      <c r="D95" s="28" t="n"/>
      <c r="E95" s="11" t="n"/>
      <c r="F95" s="22" t="n"/>
      <c r="G95" s="30" t="n"/>
      <c r="H95" s="30" t="n"/>
      <c r="I95" s="11" t="n"/>
      <c r="J95" s="11" t="n"/>
    </row>
    <row r="96" ht="22" customHeight="1">
      <c r="B96" s="15">
        <f>IF(C96="","EVAC-"&amp;TEXT(COUNTA($C$5:C96),"000"))</f>
        <v/>
      </c>
      <c r="C96" s="13" t="n"/>
      <c r="D96" s="29" t="n"/>
      <c r="E96" s="13" t="n"/>
      <c r="F96" s="23" t="n"/>
      <c r="G96" s="31" t="n"/>
      <c r="H96" s="31" t="n"/>
      <c r="I96" s="13" t="n"/>
      <c r="J96" s="13" t="n"/>
    </row>
    <row r="97" ht="22" customHeight="1">
      <c r="B97" s="16">
        <f>IF(C97="","EVAC-"&amp;TEXT(COUNTA($C$5:C97),"000"))</f>
        <v/>
      </c>
      <c r="C97" s="11" t="n"/>
      <c r="D97" s="28" t="n"/>
      <c r="E97" s="11" t="n"/>
      <c r="F97" s="22" t="n"/>
      <c r="G97" s="30" t="n"/>
      <c r="H97" s="30" t="n"/>
      <c r="I97" s="11" t="n"/>
      <c r="J97" s="11" t="n"/>
    </row>
    <row r="98" ht="22" customHeight="1">
      <c r="B98" s="15">
        <f>IF(C98="","EVAC-"&amp;TEXT(COUNTA($C$5:C98),"000"))</f>
        <v/>
      </c>
      <c r="C98" s="13" t="n"/>
      <c r="D98" s="29" t="n"/>
      <c r="E98" s="13" t="n"/>
      <c r="F98" s="23" t="n"/>
      <c r="G98" s="31" t="n"/>
      <c r="H98" s="31" t="n"/>
      <c r="I98" s="13" t="n"/>
      <c r="J98" s="13" t="n"/>
    </row>
    <row r="99" ht="22" customHeight="1">
      <c r="B99" s="16">
        <f>IF(C99="","EVAC-"&amp;TEXT(COUNTA($C$5:C99),"000"))</f>
        <v/>
      </c>
      <c r="C99" s="11" t="n"/>
      <c r="D99" s="28" t="n"/>
      <c r="E99" s="11" t="n"/>
      <c r="F99" s="22" t="n"/>
      <c r="G99" s="30" t="n"/>
      <c r="H99" s="30" t="n"/>
      <c r="I99" s="11" t="n"/>
      <c r="J99" s="11" t="n"/>
    </row>
    <row r="100" ht="22" customHeight="1">
      <c r="B100" s="15">
        <f>IF(C100="","EVAC-"&amp;TEXT(COUNTA($C$5:C100),"000"))</f>
        <v/>
      </c>
      <c r="C100" s="13" t="n"/>
      <c r="D100" s="29" t="n"/>
      <c r="E100" s="13" t="n"/>
      <c r="F100" s="23" t="n"/>
      <c r="G100" s="31" t="n"/>
      <c r="H100" s="31" t="n"/>
      <c r="I100" s="13" t="n"/>
      <c r="J100" s="13" t="n"/>
    </row>
    <row r="101" ht="22" customHeight="1">
      <c r="B101" s="16">
        <f>IF(C101="","EVAC-"&amp;TEXT(COUNTA($C$5:C101),"000"))</f>
        <v/>
      </c>
      <c r="C101" s="11" t="n"/>
      <c r="D101" s="28" t="n"/>
      <c r="E101" s="11" t="n"/>
      <c r="F101" s="22" t="n"/>
      <c r="G101" s="30" t="n"/>
      <c r="H101" s="30" t="n"/>
      <c r="I101" s="11" t="n"/>
      <c r="J101" s="11" t="n"/>
    </row>
    <row r="102" ht="22" customHeight="1">
      <c r="B102" s="15">
        <f>IF(C102="","EVAC-"&amp;TEXT(COUNTA($C$5:C102),"000"))</f>
        <v/>
      </c>
      <c r="C102" s="13" t="n"/>
      <c r="D102" s="29" t="n"/>
      <c r="E102" s="13" t="n"/>
      <c r="F102" s="23" t="n"/>
      <c r="G102" s="31" t="n"/>
      <c r="H102" s="31" t="n"/>
      <c r="I102" s="13" t="n"/>
      <c r="J102" s="13" t="n"/>
    </row>
    <row r="103" ht="22" customHeight="1">
      <c r="B103" s="16">
        <f>IF(C103="","EVAC-"&amp;TEXT(COUNTA($C$5:C103),"000"))</f>
        <v/>
      </c>
      <c r="C103" s="11" t="n"/>
      <c r="D103" s="28" t="n"/>
      <c r="E103" s="11" t="n"/>
      <c r="F103" s="22" t="n"/>
      <c r="G103" s="30" t="n"/>
      <c r="H103" s="30" t="n"/>
      <c r="I103" s="11" t="n"/>
      <c r="J103" s="11" t="n"/>
    </row>
    <row r="104" ht="22" customHeight="1">
      <c r="B104" s="15">
        <f>IF(C104="","EVAC-"&amp;TEXT(COUNTA($C$5:C104),"000"))</f>
        <v/>
      </c>
      <c r="C104" s="13" t="n"/>
      <c r="D104" s="29" t="n"/>
      <c r="E104" s="13" t="n"/>
      <c r="F104" s="23" t="n"/>
      <c r="G104" s="31" t="n"/>
      <c r="H104" s="31" t="n"/>
      <c r="I104" s="13" t="n"/>
      <c r="J104" s="13" t="n"/>
    </row>
    <row r="105" ht="22" customHeight="1">
      <c r="B105" s="16">
        <f>IF(C105="","EVAC-"&amp;TEXT(COUNTA($C$5:C105),"000"))</f>
        <v/>
      </c>
      <c r="C105" s="11" t="n"/>
      <c r="D105" s="28" t="n"/>
      <c r="E105" s="11" t="n"/>
      <c r="F105" s="22" t="n"/>
      <c r="G105" s="30" t="n"/>
      <c r="H105" s="30" t="n"/>
      <c r="I105" s="11" t="n"/>
      <c r="J105" s="11" t="n"/>
    </row>
    <row r="106" ht="22" customHeight="1">
      <c r="B106" s="15">
        <f>IF(C106="","EVAC-"&amp;TEXT(COUNTA($C$5:C106),"000"))</f>
        <v/>
      </c>
      <c r="C106" s="13" t="n"/>
      <c r="D106" s="29" t="n"/>
      <c r="E106" s="13" t="n"/>
      <c r="F106" s="23" t="n"/>
      <c r="G106" s="31" t="n"/>
      <c r="H106" s="31" t="n"/>
      <c r="I106" s="13" t="n"/>
      <c r="J106" s="13" t="n"/>
    </row>
    <row r="107" ht="22" customHeight="1">
      <c r="B107" s="16">
        <f>IF(C107="","EVAC-"&amp;TEXT(COUNTA($C$5:C107),"000"))</f>
        <v/>
      </c>
      <c r="C107" s="11" t="n"/>
      <c r="D107" s="28" t="n"/>
      <c r="E107" s="11" t="n"/>
      <c r="F107" s="22" t="n"/>
      <c r="G107" s="30" t="n"/>
      <c r="H107" s="30" t="n"/>
      <c r="I107" s="11" t="n"/>
      <c r="J107" s="11" t="n"/>
    </row>
    <row r="108" ht="22" customHeight="1">
      <c r="B108" s="15">
        <f>IF(C108="","EVAC-"&amp;TEXT(COUNTA($C$5:C108),"000"))</f>
        <v/>
      </c>
      <c r="C108" s="13" t="n"/>
      <c r="D108" s="29" t="n"/>
      <c r="E108" s="13" t="n"/>
      <c r="F108" s="23" t="n"/>
      <c r="G108" s="31" t="n"/>
      <c r="H108" s="31" t="n"/>
      <c r="I108" s="13" t="n"/>
      <c r="J108" s="13" t="n"/>
    </row>
    <row r="109"/>
    <row r="110" ht="26" customHeight="1">
      <c r="B110" s="19" t="inlineStr">
        <is>
          <t>TOTAL</t>
        </is>
      </c>
      <c r="C110" s="20" t="n"/>
      <c r="D110" s="20" t="n"/>
      <c r="E110" s="20" t="n"/>
      <c r="F110" s="21">
        <f>SUM(F5:F104)</f>
        <v/>
      </c>
      <c r="G110" s="20" t="n"/>
      <c r="H110" s="20" t="n"/>
      <c r="I110" s="20" t="n"/>
      <c r="J110" s="20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Exercices</t>
        </is>
      </c>
      <c r="D113" s="3" t="inlineStr">
        <is>
          <t>Temps moyen (min)</t>
        </is>
      </c>
      <c r="F113" s="3" t="inlineStr">
        <is>
          <t>Nb participants total</t>
        </is>
      </c>
      <c r="H113" s="3" t="inlineStr">
        <is>
          <t>Depassements objectif</t>
        </is>
      </c>
    </row>
    <row r="114">
      <c r="B114" s="4">
        <f>COUNTIF(B5:B104,"&lt;&gt;")</f>
        <v/>
      </c>
      <c r="D114" s="4">
        <f>IFERROR(AVERAGE(G5:G104),0)</f>
        <v/>
      </c>
      <c r="F114" s="4">
        <f>SUM(F5:F104)</f>
        <v/>
      </c>
      <c r="H114" s="4">
        <f>COUNTIF(G5:G104,"&gt;H5")</f>
        <v/>
      </c>
    </row>
  </sheetData>
  <mergeCells count="3">
    <mergeCell ref="B112:J112"/>
    <mergeCell ref="B3:J3"/>
    <mergeCell ref="B2:J2"/>
  </mergeCells>
  <conditionalFormatting sqref="J5:J108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9:B108">
    <cfRule type="expression" priority="150" dxfId="0">
      <formula>AND($C9="",$C8&lt;&gt;"")</formula>
    </cfRule>
  </conditionalFormatting>
  <conditionalFormatting sqref="C9:C108">
    <cfRule type="expression" priority="151" dxfId="0">
      <formula>AND($C9="",$C8&lt;&gt;"")</formula>
    </cfRule>
  </conditionalFormatting>
  <conditionalFormatting sqref="D9:D108">
    <cfRule type="expression" priority="152" dxfId="0">
      <formula>AND($C9="",$C8&lt;&gt;"")</formula>
    </cfRule>
  </conditionalFormatting>
  <conditionalFormatting sqref="E9:E108">
    <cfRule type="expression" priority="153" dxfId="0">
      <formula>AND($C9="",$C8&lt;&gt;"")</formula>
    </cfRule>
  </conditionalFormatting>
  <conditionalFormatting sqref="F9:F108">
    <cfRule type="expression" priority="154" dxfId="0">
      <formula>AND($C9="",$C8&lt;&gt;"")</formula>
    </cfRule>
  </conditionalFormatting>
  <conditionalFormatting sqref="G9:G108">
    <cfRule type="expression" priority="155" dxfId="0">
      <formula>AND($C9="",$C8&lt;&gt;"")</formula>
    </cfRule>
  </conditionalFormatting>
  <conditionalFormatting sqref="H9:H108">
    <cfRule type="expression" priority="156" dxfId="0">
      <formula>AND($C9="",$C8&lt;&gt;"")</formula>
    </cfRule>
  </conditionalFormatting>
  <conditionalFormatting sqref="I9:I108">
    <cfRule type="expression" priority="157" dxfId="0">
      <formula>AND($C9="",$C8&lt;&gt;"")</formula>
    </cfRule>
  </conditionalFormatting>
  <conditionalFormatting sqref="J9:J108">
    <cfRule type="expression" priority="158" dxfId="0">
      <formula>AND($C9="",$C8&lt;&gt;"")</formula>
    </cfRule>
  </conditionalFormatting>
  <dataValidations count="1">
    <dataValidation sqref="J5:J108" showDropDown="0" showInputMessage="0" showErrorMessage="0" allowBlank="1" errorTitle="Erreur" error="Valeur invalide" promptTitle="Liste" prompt="Choisir dans la liste" type="list">
      <formula1>'_Lists'!$X$2:$X$5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8" customWidth="1" min="4" max="4"/>
    <col width="16" customWidth="1" min="5" max="5"/>
    <col width="20" customWidth="1" min="6" max="6"/>
    <col width="24" customWidth="1" min="7" max="7"/>
    <col width="22" customWidth="1" min="8" max="8"/>
    <col width="26" customWidth="1" min="9" max="9"/>
    <col width="18" customWidth="1" min="10" max="10"/>
    <col width="14" customWidth="1" min="11" max="11"/>
  </cols>
  <sheetData>
    <row r="1" ht="15" customHeight="1"/>
    <row r="2" ht="32" customHeight="1">
      <c r="B2" s="1" t="inlineStr">
        <is>
          <t>GESTION DES PRODUITS DANGEREUX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Produit</t>
        </is>
      </c>
      <c r="D4" s="10" t="inlineStr">
        <is>
          <t>Fournisseur</t>
        </is>
      </c>
      <c r="E4" s="10" t="inlineStr">
        <is>
          <t>Quantite Stock</t>
        </is>
      </c>
      <c r="F4" s="10" t="inlineStr">
        <is>
          <t>Fiche Securite Dispo.</t>
        </is>
      </c>
      <c r="G4" s="10" t="inlineStr">
        <is>
          <t>Lieu Stockage</t>
        </is>
      </c>
      <c r="H4" s="10" t="inlineStr">
        <is>
          <t>Departement Utilisateur</t>
        </is>
      </c>
      <c r="I4" s="10" t="inlineStr">
        <is>
          <t>EPI Requis</t>
        </is>
      </c>
      <c r="J4" s="10" t="inlineStr">
        <is>
          <t>Date Reapprovision.</t>
        </is>
      </c>
      <c r="K4" s="10" t="inlineStr">
        <is>
          <t>Statut</t>
        </is>
      </c>
    </row>
    <row r="5" ht="22" customHeight="1">
      <c r="B5" s="11" t="inlineStr">
        <is>
          <t>PD-001</t>
        </is>
      </c>
      <c r="C5" s="11" t="inlineStr">
        <is>
          <t>Detartrant acide</t>
        </is>
      </c>
      <c r="D5" s="11" t="inlineStr">
        <is>
          <t>CleanPro</t>
        </is>
      </c>
      <c r="E5" s="22" t="n">
        <v>10</v>
      </c>
      <c r="F5" s="11" t="inlineStr">
        <is>
          <t>Oui</t>
        </is>
      </c>
      <c r="G5" s="11" t="inlineStr">
        <is>
          <t>Local produit cuisine</t>
        </is>
      </c>
      <c r="H5" s="11" t="inlineStr">
        <is>
          <t>Cuisine &amp; Restauration</t>
        </is>
      </c>
      <c r="I5" s="11" t="inlineStr">
        <is>
          <t>Gants, lunettes</t>
        </is>
      </c>
      <c r="J5" s="28" t="n">
        <v>45870</v>
      </c>
      <c r="K5" s="11" t="inlineStr">
        <is>
          <t>En stock</t>
        </is>
      </c>
    </row>
    <row r="6" ht="22" customHeight="1">
      <c r="B6" s="13" t="inlineStr">
        <is>
          <t>PD-002</t>
        </is>
      </c>
      <c r="C6" s="13" t="inlineStr">
        <is>
          <t>Degreasant industriel</t>
        </is>
      </c>
      <c r="D6" s="13" t="inlineStr">
        <is>
          <t>CleanPro</t>
        </is>
      </c>
      <c r="E6" s="23" t="n">
        <v>8</v>
      </c>
      <c r="F6" s="13" t="inlineStr">
        <is>
          <t>Oui</t>
        </is>
      </c>
      <c r="G6" s="13" t="inlineStr">
        <is>
          <t>Local produit cuisine</t>
        </is>
      </c>
      <c r="H6" s="13" t="inlineStr">
        <is>
          <t>Cuisine &amp; Restauration</t>
        </is>
      </c>
      <c r="I6" s="13" t="inlineStr">
        <is>
          <t>Gants, masque</t>
        </is>
      </c>
      <c r="J6" s="29" t="n">
        <v>45853</v>
      </c>
      <c r="K6" s="13" t="inlineStr">
        <is>
          <t>En stock</t>
        </is>
      </c>
    </row>
    <row r="7" ht="22" customHeight="1">
      <c r="B7" s="11" t="inlineStr">
        <is>
          <t>PD-003</t>
        </is>
      </c>
      <c r="C7" s="11" t="inlineStr">
        <is>
          <t>Peinture antirouille</t>
        </is>
      </c>
      <c r="D7" s="11" t="inlineStr">
        <is>
          <t>PeintPro</t>
        </is>
      </c>
      <c r="E7" s="22" t="n">
        <v>5</v>
      </c>
      <c r="F7" s="11" t="inlineStr">
        <is>
          <t>Non</t>
        </is>
      </c>
      <c r="G7" s="11" t="inlineStr">
        <is>
          <t>Local technique</t>
        </is>
      </c>
      <c r="H7" s="11" t="inlineStr">
        <is>
          <t>Maintenance</t>
        </is>
      </c>
      <c r="I7" s="11" t="inlineStr">
        <is>
          <t>Masque, gants</t>
        </is>
      </c>
      <c r="J7" s="28" t="n">
        <v>45901</v>
      </c>
      <c r="K7" s="11" t="inlineStr">
        <is>
          <t>En stock</t>
        </is>
      </c>
    </row>
    <row r="8" ht="22" customHeight="1">
      <c r="B8" s="13" t="inlineStr">
        <is>
          <t>PD-004</t>
        </is>
      </c>
      <c r="C8" s="13" t="inlineStr">
        <is>
          <t>Gaz butane (bouteille)</t>
        </is>
      </c>
      <c r="D8" s="13" t="inlineStr">
        <is>
          <t>GasCam</t>
        </is>
      </c>
      <c r="E8" s="23" t="n">
        <v>12</v>
      </c>
      <c r="F8" s="13" t="inlineStr">
        <is>
          <t>Oui</t>
        </is>
      </c>
      <c r="G8" s="13" t="inlineStr">
        <is>
          <t>Local gaz cuisine</t>
        </is>
      </c>
      <c r="H8" s="13" t="inlineStr">
        <is>
          <t>Cuisine &amp; Restauration</t>
        </is>
      </c>
      <c r="I8" s="13" t="inlineStr">
        <is>
          <t>Aucun (manipulation)</t>
        </is>
      </c>
      <c r="J8" s="29" t="n">
        <v>45839</v>
      </c>
      <c r="K8" s="13" t="inlineStr">
        <is>
          <t>En stock</t>
        </is>
      </c>
    </row>
    <row r="9" ht="22" customHeight="1">
      <c r="B9" s="11" t="inlineStr">
        <is>
          <t>PD-005</t>
        </is>
      </c>
      <c r="C9" s="11" t="inlineStr">
        <is>
          <t>Solvant decapant</t>
        </is>
      </c>
      <c r="D9" s="11" t="inlineStr">
        <is>
          <t>CleanPro</t>
        </is>
      </c>
      <c r="E9" s="22" t="n">
        <v>3</v>
      </c>
      <c r="F9" s="11" t="inlineStr">
        <is>
          <t>Non</t>
        </is>
      </c>
      <c r="G9" s="11" t="inlineStr">
        <is>
          <t>Local technique</t>
        </is>
      </c>
      <c r="H9" s="11" t="inlineStr">
        <is>
          <t>Maintenance</t>
        </is>
      </c>
      <c r="I9" s="11" t="inlineStr">
        <is>
          <t>Gants, masque, lunettes</t>
        </is>
      </c>
      <c r="J9" s="28" t="n">
        <v>45931</v>
      </c>
      <c r="K9" s="11" t="inlineStr">
        <is>
          <t>En stock</t>
        </is>
      </c>
    </row>
    <row r="10" ht="22" customHeight="1">
      <c r="B10" s="15">
        <f>IF(C10="","PD-"&amp;TEXT(COUNTA($C$5:C10),"000"))</f>
        <v/>
      </c>
      <c r="C10" s="13" t="n"/>
      <c r="D10" s="13" t="n"/>
      <c r="E10" s="23" t="n"/>
      <c r="F10" s="13" t="n"/>
      <c r="G10" s="13" t="n"/>
      <c r="H10" s="13" t="n"/>
      <c r="I10" s="13" t="n"/>
      <c r="J10" s="29" t="n"/>
      <c r="K10" s="13" t="n"/>
    </row>
    <row r="11" ht="22" customHeight="1">
      <c r="B11" s="16">
        <f>IF(C11="","PD-"&amp;TEXT(COUNTA($C$5:C11),"000"))</f>
        <v/>
      </c>
      <c r="C11" s="11" t="n"/>
      <c r="D11" s="11" t="n"/>
      <c r="E11" s="22" t="n"/>
      <c r="F11" s="11" t="n"/>
      <c r="G11" s="11" t="n"/>
      <c r="H11" s="11" t="n"/>
      <c r="I11" s="11" t="n"/>
      <c r="J11" s="28" t="n"/>
      <c r="K11" s="11" t="n"/>
    </row>
    <row r="12" ht="22" customHeight="1">
      <c r="B12" s="15">
        <f>IF(C12="","PD-"&amp;TEXT(COUNTA($C$5:C12),"000"))</f>
        <v/>
      </c>
      <c r="C12" s="13" t="n"/>
      <c r="D12" s="13" t="n"/>
      <c r="E12" s="23" t="n"/>
      <c r="F12" s="13" t="n"/>
      <c r="G12" s="13" t="n"/>
      <c r="H12" s="13" t="n"/>
      <c r="I12" s="13" t="n"/>
      <c r="J12" s="29" t="n"/>
      <c r="K12" s="13" t="n"/>
    </row>
    <row r="13" ht="22" customHeight="1">
      <c r="B13" s="16">
        <f>IF(C13="","PD-"&amp;TEXT(COUNTA($C$5:C13),"000"))</f>
        <v/>
      </c>
      <c r="C13" s="11" t="n"/>
      <c r="D13" s="11" t="n"/>
      <c r="E13" s="22" t="n"/>
      <c r="F13" s="11" t="n"/>
      <c r="G13" s="11" t="n"/>
      <c r="H13" s="11" t="n"/>
      <c r="I13" s="11" t="n"/>
      <c r="J13" s="28" t="n"/>
      <c r="K13" s="11" t="n"/>
    </row>
    <row r="14" ht="22" customHeight="1">
      <c r="B14" s="15">
        <f>IF(C14="","PD-"&amp;TEXT(COUNTA($C$5:C14),"000"))</f>
        <v/>
      </c>
      <c r="C14" s="13" t="n"/>
      <c r="D14" s="13" t="n"/>
      <c r="E14" s="23" t="n"/>
      <c r="F14" s="13" t="n"/>
      <c r="G14" s="13" t="n"/>
      <c r="H14" s="13" t="n"/>
      <c r="I14" s="13" t="n"/>
      <c r="J14" s="29" t="n"/>
      <c r="K14" s="13" t="n"/>
    </row>
    <row r="15" ht="22" customHeight="1">
      <c r="B15" s="16">
        <f>IF(C15="","PD-"&amp;TEXT(COUNTA($C$5:C15),"000"))</f>
        <v/>
      </c>
      <c r="C15" s="11" t="n"/>
      <c r="D15" s="11" t="n"/>
      <c r="E15" s="22" t="n"/>
      <c r="F15" s="11" t="n"/>
      <c r="G15" s="11" t="n"/>
      <c r="H15" s="11" t="n"/>
      <c r="I15" s="11" t="n"/>
      <c r="J15" s="28" t="n"/>
      <c r="K15" s="11" t="n"/>
    </row>
    <row r="16" ht="22" customHeight="1">
      <c r="B16" s="15">
        <f>IF(C16="","PD-"&amp;TEXT(COUNTA($C$5:C16),"000"))</f>
        <v/>
      </c>
      <c r="C16" s="13" t="n"/>
      <c r="D16" s="13" t="n"/>
      <c r="E16" s="23" t="n"/>
      <c r="F16" s="13" t="n"/>
      <c r="G16" s="13" t="n"/>
      <c r="H16" s="13" t="n"/>
      <c r="I16" s="13" t="n"/>
      <c r="J16" s="29" t="n"/>
      <c r="K16" s="13" t="n"/>
    </row>
    <row r="17" ht="22" customHeight="1">
      <c r="B17" s="16">
        <f>IF(C17="","PD-"&amp;TEXT(COUNTA($C$5:C17),"000"))</f>
        <v/>
      </c>
      <c r="C17" s="11" t="n"/>
      <c r="D17" s="11" t="n"/>
      <c r="E17" s="22" t="n"/>
      <c r="F17" s="11" t="n"/>
      <c r="G17" s="11" t="n"/>
      <c r="H17" s="11" t="n"/>
      <c r="I17" s="11" t="n"/>
      <c r="J17" s="28" t="n"/>
      <c r="K17" s="11" t="n"/>
    </row>
    <row r="18" ht="22" customHeight="1">
      <c r="B18" s="15">
        <f>IF(C18="","PD-"&amp;TEXT(COUNTA($C$5:C18),"000"))</f>
        <v/>
      </c>
      <c r="C18" s="13" t="n"/>
      <c r="D18" s="13" t="n"/>
      <c r="E18" s="23" t="n"/>
      <c r="F18" s="13" t="n"/>
      <c r="G18" s="13" t="n"/>
      <c r="H18" s="13" t="n"/>
      <c r="I18" s="13" t="n"/>
      <c r="J18" s="29" t="n"/>
      <c r="K18" s="13" t="n"/>
    </row>
    <row r="19" ht="22" customHeight="1">
      <c r="B19" s="16">
        <f>IF(C19="","PD-"&amp;TEXT(COUNTA($C$5:C19),"000"))</f>
        <v/>
      </c>
      <c r="C19" s="11" t="n"/>
      <c r="D19" s="11" t="n"/>
      <c r="E19" s="22" t="n"/>
      <c r="F19" s="11" t="n"/>
      <c r="G19" s="11" t="n"/>
      <c r="H19" s="11" t="n"/>
      <c r="I19" s="11" t="n"/>
      <c r="J19" s="28" t="n"/>
      <c r="K19" s="11" t="n"/>
    </row>
    <row r="20" ht="22" customHeight="1">
      <c r="B20" s="15">
        <f>IF(C20="","PD-"&amp;TEXT(COUNTA($C$5:C20),"000"))</f>
        <v/>
      </c>
      <c r="C20" s="13" t="n"/>
      <c r="D20" s="13" t="n"/>
      <c r="E20" s="23" t="n"/>
      <c r="F20" s="13" t="n"/>
      <c r="G20" s="13" t="n"/>
      <c r="H20" s="13" t="n"/>
      <c r="I20" s="13" t="n"/>
      <c r="J20" s="29" t="n"/>
      <c r="K20" s="13" t="n"/>
    </row>
    <row r="21" ht="22" customHeight="1">
      <c r="B21" s="16">
        <f>IF(C21="","PD-"&amp;TEXT(COUNTA($C$5:C21),"000"))</f>
        <v/>
      </c>
      <c r="C21" s="11" t="n"/>
      <c r="D21" s="11" t="n"/>
      <c r="E21" s="22" t="n"/>
      <c r="F21" s="11" t="n"/>
      <c r="G21" s="11" t="n"/>
      <c r="H21" s="11" t="n"/>
      <c r="I21" s="11" t="n"/>
      <c r="J21" s="28" t="n"/>
      <c r="K21" s="11" t="n"/>
    </row>
    <row r="22" ht="22" customHeight="1">
      <c r="B22" s="15">
        <f>IF(C22="","PD-"&amp;TEXT(COUNTA($C$5:C22),"000"))</f>
        <v/>
      </c>
      <c r="C22" s="13" t="n"/>
      <c r="D22" s="13" t="n"/>
      <c r="E22" s="23" t="n"/>
      <c r="F22" s="13" t="n"/>
      <c r="G22" s="13" t="n"/>
      <c r="H22" s="13" t="n"/>
      <c r="I22" s="13" t="n"/>
      <c r="J22" s="29" t="n"/>
      <c r="K22" s="13" t="n"/>
    </row>
    <row r="23" ht="22" customHeight="1">
      <c r="B23" s="16">
        <f>IF(C23="","PD-"&amp;TEXT(COUNTA($C$5:C23),"000"))</f>
        <v/>
      </c>
      <c r="C23" s="11" t="n"/>
      <c r="D23" s="11" t="n"/>
      <c r="E23" s="22" t="n"/>
      <c r="F23" s="11" t="n"/>
      <c r="G23" s="11" t="n"/>
      <c r="H23" s="11" t="n"/>
      <c r="I23" s="11" t="n"/>
      <c r="J23" s="28" t="n"/>
      <c r="K23" s="11" t="n"/>
    </row>
    <row r="24" ht="22" customHeight="1">
      <c r="B24" s="15">
        <f>IF(C24="","PD-"&amp;TEXT(COUNTA($C$5:C24),"000"))</f>
        <v/>
      </c>
      <c r="C24" s="13" t="n"/>
      <c r="D24" s="13" t="n"/>
      <c r="E24" s="23" t="n"/>
      <c r="F24" s="13" t="n"/>
      <c r="G24" s="13" t="n"/>
      <c r="H24" s="13" t="n"/>
      <c r="I24" s="13" t="n"/>
      <c r="J24" s="29" t="n"/>
      <c r="K24" s="13" t="n"/>
    </row>
    <row r="25" ht="22" customHeight="1">
      <c r="B25" s="16">
        <f>IF(C25="","PD-"&amp;TEXT(COUNTA($C$5:C25),"000"))</f>
        <v/>
      </c>
      <c r="C25" s="11" t="n"/>
      <c r="D25" s="11" t="n"/>
      <c r="E25" s="22" t="n"/>
      <c r="F25" s="11" t="n"/>
      <c r="G25" s="11" t="n"/>
      <c r="H25" s="11" t="n"/>
      <c r="I25" s="11" t="n"/>
      <c r="J25" s="28" t="n"/>
      <c r="K25" s="11" t="n"/>
    </row>
    <row r="26" ht="22" customHeight="1">
      <c r="B26" s="15">
        <f>IF(C26="","PD-"&amp;TEXT(COUNTA($C$5:C26),"000"))</f>
        <v/>
      </c>
      <c r="C26" s="13" t="n"/>
      <c r="D26" s="13" t="n"/>
      <c r="E26" s="23" t="n"/>
      <c r="F26" s="13" t="n"/>
      <c r="G26" s="13" t="n"/>
      <c r="H26" s="13" t="n"/>
      <c r="I26" s="13" t="n"/>
      <c r="J26" s="29" t="n"/>
      <c r="K26" s="13" t="n"/>
    </row>
    <row r="27" ht="22" customHeight="1">
      <c r="B27" s="16">
        <f>IF(C27="","PD-"&amp;TEXT(COUNTA($C$5:C27),"000"))</f>
        <v/>
      </c>
      <c r="C27" s="11" t="n"/>
      <c r="D27" s="11" t="n"/>
      <c r="E27" s="22" t="n"/>
      <c r="F27" s="11" t="n"/>
      <c r="G27" s="11" t="n"/>
      <c r="H27" s="11" t="n"/>
      <c r="I27" s="11" t="n"/>
      <c r="J27" s="28" t="n"/>
      <c r="K27" s="11" t="n"/>
    </row>
    <row r="28" ht="22" customHeight="1">
      <c r="B28" s="15">
        <f>IF(C28="","PD-"&amp;TEXT(COUNTA($C$5:C28),"000"))</f>
        <v/>
      </c>
      <c r="C28" s="13" t="n"/>
      <c r="D28" s="13" t="n"/>
      <c r="E28" s="23" t="n"/>
      <c r="F28" s="13" t="n"/>
      <c r="G28" s="13" t="n"/>
      <c r="H28" s="13" t="n"/>
      <c r="I28" s="13" t="n"/>
      <c r="J28" s="29" t="n"/>
      <c r="K28" s="13" t="n"/>
    </row>
    <row r="29" ht="22" customHeight="1">
      <c r="B29" s="16">
        <f>IF(C29="","PD-"&amp;TEXT(COUNTA($C$5:C29),"000"))</f>
        <v/>
      </c>
      <c r="C29" s="11" t="n"/>
      <c r="D29" s="11" t="n"/>
      <c r="E29" s="22" t="n"/>
      <c r="F29" s="11" t="n"/>
      <c r="G29" s="11" t="n"/>
      <c r="H29" s="11" t="n"/>
      <c r="I29" s="11" t="n"/>
      <c r="J29" s="28" t="n"/>
      <c r="K29" s="11" t="n"/>
    </row>
    <row r="30" ht="22" customHeight="1">
      <c r="B30" s="15">
        <f>IF(C30="","PD-"&amp;TEXT(COUNTA($C$5:C30),"000"))</f>
        <v/>
      </c>
      <c r="C30" s="13" t="n"/>
      <c r="D30" s="13" t="n"/>
      <c r="E30" s="23" t="n"/>
      <c r="F30" s="13" t="n"/>
      <c r="G30" s="13" t="n"/>
      <c r="H30" s="13" t="n"/>
      <c r="I30" s="13" t="n"/>
      <c r="J30" s="29" t="n"/>
      <c r="K30" s="13" t="n"/>
    </row>
    <row r="31" ht="22" customHeight="1">
      <c r="B31" s="16">
        <f>IF(C31="","PD-"&amp;TEXT(COUNTA($C$5:C31),"000"))</f>
        <v/>
      </c>
      <c r="C31" s="11" t="n"/>
      <c r="D31" s="11" t="n"/>
      <c r="E31" s="22" t="n"/>
      <c r="F31" s="11" t="n"/>
      <c r="G31" s="11" t="n"/>
      <c r="H31" s="11" t="n"/>
      <c r="I31" s="11" t="n"/>
      <c r="J31" s="28" t="n"/>
      <c r="K31" s="11" t="n"/>
    </row>
    <row r="32" ht="22" customHeight="1">
      <c r="B32" s="15">
        <f>IF(C32="","PD-"&amp;TEXT(COUNTA($C$5:C32),"000"))</f>
        <v/>
      </c>
      <c r="C32" s="13" t="n"/>
      <c r="D32" s="13" t="n"/>
      <c r="E32" s="23" t="n"/>
      <c r="F32" s="13" t="n"/>
      <c r="G32" s="13" t="n"/>
      <c r="H32" s="13" t="n"/>
      <c r="I32" s="13" t="n"/>
      <c r="J32" s="29" t="n"/>
      <c r="K32" s="13" t="n"/>
    </row>
    <row r="33" ht="22" customHeight="1">
      <c r="B33" s="16">
        <f>IF(C33="","PD-"&amp;TEXT(COUNTA($C$5:C33),"000"))</f>
        <v/>
      </c>
      <c r="C33" s="11" t="n"/>
      <c r="D33" s="11" t="n"/>
      <c r="E33" s="22" t="n"/>
      <c r="F33" s="11" t="n"/>
      <c r="G33" s="11" t="n"/>
      <c r="H33" s="11" t="n"/>
      <c r="I33" s="11" t="n"/>
      <c r="J33" s="28" t="n"/>
      <c r="K33" s="11" t="n"/>
    </row>
    <row r="34" ht="22" customHeight="1">
      <c r="B34" s="15">
        <f>IF(C34="","PD-"&amp;TEXT(COUNTA($C$5:C34),"000"))</f>
        <v/>
      </c>
      <c r="C34" s="13" t="n"/>
      <c r="D34" s="13" t="n"/>
      <c r="E34" s="23" t="n"/>
      <c r="F34" s="13" t="n"/>
      <c r="G34" s="13" t="n"/>
      <c r="H34" s="13" t="n"/>
      <c r="I34" s="13" t="n"/>
      <c r="J34" s="29" t="n"/>
      <c r="K34" s="13" t="n"/>
    </row>
    <row r="35" ht="22" customHeight="1">
      <c r="B35" s="16">
        <f>IF(C35="","PD-"&amp;TEXT(COUNTA($C$5:C35),"000"))</f>
        <v/>
      </c>
      <c r="C35" s="11" t="n"/>
      <c r="D35" s="11" t="n"/>
      <c r="E35" s="22" t="n"/>
      <c r="F35" s="11" t="n"/>
      <c r="G35" s="11" t="n"/>
      <c r="H35" s="11" t="n"/>
      <c r="I35" s="11" t="n"/>
      <c r="J35" s="28" t="n"/>
      <c r="K35" s="11" t="n"/>
    </row>
    <row r="36" ht="22" customHeight="1">
      <c r="B36" s="15">
        <f>IF(C36="","PD-"&amp;TEXT(COUNTA($C$5:C36),"000"))</f>
        <v/>
      </c>
      <c r="C36" s="13" t="n"/>
      <c r="D36" s="13" t="n"/>
      <c r="E36" s="23" t="n"/>
      <c r="F36" s="13" t="n"/>
      <c r="G36" s="13" t="n"/>
      <c r="H36" s="13" t="n"/>
      <c r="I36" s="13" t="n"/>
      <c r="J36" s="29" t="n"/>
      <c r="K36" s="13" t="n"/>
    </row>
    <row r="37" ht="22" customHeight="1">
      <c r="B37" s="16">
        <f>IF(C37="","PD-"&amp;TEXT(COUNTA($C$5:C37),"000"))</f>
        <v/>
      </c>
      <c r="C37" s="11" t="n"/>
      <c r="D37" s="11" t="n"/>
      <c r="E37" s="22" t="n"/>
      <c r="F37" s="11" t="n"/>
      <c r="G37" s="11" t="n"/>
      <c r="H37" s="11" t="n"/>
      <c r="I37" s="11" t="n"/>
      <c r="J37" s="28" t="n"/>
      <c r="K37" s="11" t="n"/>
    </row>
    <row r="38" ht="22" customHeight="1">
      <c r="B38" s="15">
        <f>IF(C38="","PD-"&amp;TEXT(COUNTA($C$5:C38),"000"))</f>
        <v/>
      </c>
      <c r="C38" s="13" t="n"/>
      <c r="D38" s="13" t="n"/>
      <c r="E38" s="23" t="n"/>
      <c r="F38" s="13" t="n"/>
      <c r="G38" s="13" t="n"/>
      <c r="H38" s="13" t="n"/>
      <c r="I38" s="13" t="n"/>
      <c r="J38" s="29" t="n"/>
      <c r="K38" s="13" t="n"/>
    </row>
    <row r="39" ht="22" customHeight="1">
      <c r="B39" s="16">
        <f>IF(C39="","PD-"&amp;TEXT(COUNTA($C$5:C39),"000"))</f>
        <v/>
      </c>
      <c r="C39" s="11" t="n"/>
      <c r="D39" s="11" t="n"/>
      <c r="E39" s="22" t="n"/>
      <c r="F39" s="11" t="n"/>
      <c r="G39" s="11" t="n"/>
      <c r="H39" s="11" t="n"/>
      <c r="I39" s="11" t="n"/>
      <c r="J39" s="28" t="n"/>
      <c r="K39" s="11" t="n"/>
    </row>
    <row r="40" ht="22" customHeight="1">
      <c r="B40" s="15">
        <f>IF(C40="","PD-"&amp;TEXT(COUNTA($C$5:C40),"000"))</f>
        <v/>
      </c>
      <c r="C40" s="13" t="n"/>
      <c r="D40" s="13" t="n"/>
      <c r="E40" s="23" t="n"/>
      <c r="F40" s="13" t="n"/>
      <c r="G40" s="13" t="n"/>
      <c r="H40" s="13" t="n"/>
      <c r="I40" s="13" t="n"/>
      <c r="J40" s="29" t="n"/>
      <c r="K40" s="13" t="n"/>
    </row>
    <row r="41" ht="22" customHeight="1">
      <c r="B41" s="16">
        <f>IF(C41="","PD-"&amp;TEXT(COUNTA($C$5:C41),"000"))</f>
        <v/>
      </c>
      <c r="C41" s="11" t="n"/>
      <c r="D41" s="11" t="n"/>
      <c r="E41" s="22" t="n"/>
      <c r="F41" s="11" t="n"/>
      <c r="G41" s="11" t="n"/>
      <c r="H41" s="11" t="n"/>
      <c r="I41" s="11" t="n"/>
      <c r="J41" s="28" t="n"/>
      <c r="K41" s="11" t="n"/>
    </row>
    <row r="42" ht="22" customHeight="1">
      <c r="B42" s="15">
        <f>IF(C42="","PD-"&amp;TEXT(COUNTA($C$5:C42),"000"))</f>
        <v/>
      </c>
      <c r="C42" s="13" t="n"/>
      <c r="D42" s="13" t="n"/>
      <c r="E42" s="23" t="n"/>
      <c r="F42" s="13" t="n"/>
      <c r="G42" s="13" t="n"/>
      <c r="H42" s="13" t="n"/>
      <c r="I42" s="13" t="n"/>
      <c r="J42" s="29" t="n"/>
      <c r="K42" s="13" t="n"/>
    </row>
    <row r="43" ht="22" customHeight="1">
      <c r="B43" s="16">
        <f>IF(C43="","PD-"&amp;TEXT(COUNTA($C$5:C43),"000"))</f>
        <v/>
      </c>
      <c r="C43" s="11" t="n"/>
      <c r="D43" s="11" t="n"/>
      <c r="E43" s="22" t="n"/>
      <c r="F43" s="11" t="n"/>
      <c r="G43" s="11" t="n"/>
      <c r="H43" s="11" t="n"/>
      <c r="I43" s="11" t="n"/>
      <c r="J43" s="28" t="n"/>
      <c r="K43" s="11" t="n"/>
    </row>
    <row r="44" ht="22" customHeight="1">
      <c r="B44" s="15">
        <f>IF(C44="","PD-"&amp;TEXT(COUNTA($C$5:C44),"000"))</f>
        <v/>
      </c>
      <c r="C44" s="13" t="n"/>
      <c r="D44" s="13" t="n"/>
      <c r="E44" s="23" t="n"/>
      <c r="F44" s="13" t="n"/>
      <c r="G44" s="13" t="n"/>
      <c r="H44" s="13" t="n"/>
      <c r="I44" s="13" t="n"/>
      <c r="J44" s="29" t="n"/>
      <c r="K44" s="13" t="n"/>
    </row>
    <row r="45" ht="22" customHeight="1">
      <c r="B45" s="16">
        <f>IF(C45="","PD-"&amp;TEXT(COUNTA($C$5:C45),"000"))</f>
        <v/>
      </c>
      <c r="C45" s="11" t="n"/>
      <c r="D45" s="11" t="n"/>
      <c r="E45" s="22" t="n"/>
      <c r="F45" s="11" t="n"/>
      <c r="G45" s="11" t="n"/>
      <c r="H45" s="11" t="n"/>
      <c r="I45" s="11" t="n"/>
      <c r="J45" s="28" t="n"/>
      <c r="K45" s="11" t="n"/>
    </row>
    <row r="46" ht="22" customHeight="1">
      <c r="B46" s="15">
        <f>IF(C46="","PD-"&amp;TEXT(COUNTA($C$5:C46),"000"))</f>
        <v/>
      </c>
      <c r="C46" s="13" t="n"/>
      <c r="D46" s="13" t="n"/>
      <c r="E46" s="23" t="n"/>
      <c r="F46" s="13" t="n"/>
      <c r="G46" s="13" t="n"/>
      <c r="H46" s="13" t="n"/>
      <c r="I46" s="13" t="n"/>
      <c r="J46" s="29" t="n"/>
      <c r="K46" s="13" t="n"/>
    </row>
    <row r="47" ht="22" customHeight="1">
      <c r="B47" s="16">
        <f>IF(C47="","PD-"&amp;TEXT(COUNTA($C$5:C47),"000"))</f>
        <v/>
      </c>
      <c r="C47" s="11" t="n"/>
      <c r="D47" s="11" t="n"/>
      <c r="E47" s="22" t="n"/>
      <c r="F47" s="11" t="n"/>
      <c r="G47" s="11" t="n"/>
      <c r="H47" s="11" t="n"/>
      <c r="I47" s="11" t="n"/>
      <c r="J47" s="28" t="n"/>
      <c r="K47" s="11" t="n"/>
    </row>
    <row r="48" ht="22" customHeight="1">
      <c r="B48" s="15">
        <f>IF(C48="","PD-"&amp;TEXT(COUNTA($C$5:C48),"000"))</f>
        <v/>
      </c>
      <c r="C48" s="13" t="n"/>
      <c r="D48" s="13" t="n"/>
      <c r="E48" s="23" t="n"/>
      <c r="F48" s="13" t="n"/>
      <c r="G48" s="13" t="n"/>
      <c r="H48" s="13" t="n"/>
      <c r="I48" s="13" t="n"/>
      <c r="J48" s="29" t="n"/>
      <c r="K48" s="13" t="n"/>
    </row>
    <row r="49" ht="22" customHeight="1">
      <c r="B49" s="16">
        <f>IF(C49="","PD-"&amp;TEXT(COUNTA($C$5:C49),"000"))</f>
        <v/>
      </c>
      <c r="C49" s="11" t="n"/>
      <c r="D49" s="11" t="n"/>
      <c r="E49" s="22" t="n"/>
      <c r="F49" s="11" t="n"/>
      <c r="G49" s="11" t="n"/>
      <c r="H49" s="11" t="n"/>
      <c r="I49" s="11" t="n"/>
      <c r="J49" s="28" t="n"/>
      <c r="K49" s="11" t="n"/>
    </row>
    <row r="50" ht="22" customHeight="1">
      <c r="B50" s="15">
        <f>IF(C50="","PD-"&amp;TEXT(COUNTA($C$5:C50),"000"))</f>
        <v/>
      </c>
      <c r="C50" s="13" t="n"/>
      <c r="D50" s="13" t="n"/>
      <c r="E50" s="23" t="n"/>
      <c r="F50" s="13" t="n"/>
      <c r="G50" s="13" t="n"/>
      <c r="H50" s="13" t="n"/>
      <c r="I50" s="13" t="n"/>
      <c r="J50" s="29" t="n"/>
      <c r="K50" s="13" t="n"/>
    </row>
    <row r="51" ht="22" customHeight="1">
      <c r="B51" s="16">
        <f>IF(C51="","PD-"&amp;TEXT(COUNTA($C$5:C51),"000"))</f>
        <v/>
      </c>
      <c r="C51" s="11" t="n"/>
      <c r="D51" s="11" t="n"/>
      <c r="E51" s="22" t="n"/>
      <c r="F51" s="11" t="n"/>
      <c r="G51" s="11" t="n"/>
      <c r="H51" s="11" t="n"/>
      <c r="I51" s="11" t="n"/>
      <c r="J51" s="28" t="n"/>
      <c r="K51" s="11" t="n"/>
    </row>
    <row r="52" ht="22" customHeight="1">
      <c r="B52" s="15">
        <f>IF(C52="","PD-"&amp;TEXT(COUNTA($C$5:C52),"000"))</f>
        <v/>
      </c>
      <c r="C52" s="13" t="n"/>
      <c r="D52" s="13" t="n"/>
      <c r="E52" s="23" t="n"/>
      <c r="F52" s="13" t="n"/>
      <c r="G52" s="13" t="n"/>
      <c r="H52" s="13" t="n"/>
      <c r="I52" s="13" t="n"/>
      <c r="J52" s="29" t="n"/>
      <c r="K52" s="13" t="n"/>
    </row>
    <row r="53" ht="22" customHeight="1">
      <c r="B53" s="16">
        <f>IF(C53="","PD-"&amp;TEXT(COUNTA($C$5:C53),"000"))</f>
        <v/>
      </c>
      <c r="C53" s="11" t="n"/>
      <c r="D53" s="11" t="n"/>
      <c r="E53" s="22" t="n"/>
      <c r="F53" s="11" t="n"/>
      <c r="G53" s="11" t="n"/>
      <c r="H53" s="11" t="n"/>
      <c r="I53" s="11" t="n"/>
      <c r="J53" s="28" t="n"/>
      <c r="K53" s="11" t="n"/>
    </row>
    <row r="54" ht="22" customHeight="1">
      <c r="B54" s="15">
        <f>IF(C54="","PD-"&amp;TEXT(COUNTA($C$5:C54),"000"))</f>
        <v/>
      </c>
      <c r="C54" s="13" t="n"/>
      <c r="D54" s="13" t="n"/>
      <c r="E54" s="23" t="n"/>
      <c r="F54" s="13" t="n"/>
      <c r="G54" s="13" t="n"/>
      <c r="H54" s="13" t="n"/>
      <c r="I54" s="13" t="n"/>
      <c r="J54" s="29" t="n"/>
      <c r="K54" s="13" t="n"/>
    </row>
    <row r="55" ht="22" customHeight="1">
      <c r="B55" s="16">
        <f>IF(C55="","PD-"&amp;TEXT(COUNTA($C$5:C55),"000"))</f>
        <v/>
      </c>
      <c r="C55" s="11" t="n"/>
      <c r="D55" s="11" t="n"/>
      <c r="E55" s="22" t="n"/>
      <c r="F55" s="11" t="n"/>
      <c r="G55" s="11" t="n"/>
      <c r="H55" s="11" t="n"/>
      <c r="I55" s="11" t="n"/>
      <c r="J55" s="28" t="n"/>
      <c r="K55" s="11" t="n"/>
    </row>
    <row r="56" ht="22" customHeight="1">
      <c r="B56" s="15">
        <f>IF(C56="","PD-"&amp;TEXT(COUNTA($C$5:C56),"000"))</f>
        <v/>
      </c>
      <c r="C56" s="13" t="n"/>
      <c r="D56" s="13" t="n"/>
      <c r="E56" s="23" t="n"/>
      <c r="F56" s="13" t="n"/>
      <c r="G56" s="13" t="n"/>
      <c r="H56" s="13" t="n"/>
      <c r="I56" s="13" t="n"/>
      <c r="J56" s="29" t="n"/>
      <c r="K56" s="13" t="n"/>
    </row>
    <row r="57" ht="22" customHeight="1">
      <c r="B57" s="16">
        <f>IF(C57="","PD-"&amp;TEXT(COUNTA($C$5:C57),"000"))</f>
        <v/>
      </c>
      <c r="C57" s="11" t="n"/>
      <c r="D57" s="11" t="n"/>
      <c r="E57" s="22" t="n"/>
      <c r="F57" s="11" t="n"/>
      <c r="G57" s="11" t="n"/>
      <c r="H57" s="11" t="n"/>
      <c r="I57" s="11" t="n"/>
      <c r="J57" s="28" t="n"/>
      <c r="K57" s="11" t="n"/>
    </row>
    <row r="58" ht="22" customHeight="1">
      <c r="B58" s="15">
        <f>IF(C58="","PD-"&amp;TEXT(COUNTA($C$5:C58),"000"))</f>
        <v/>
      </c>
      <c r="C58" s="13" t="n"/>
      <c r="D58" s="13" t="n"/>
      <c r="E58" s="23" t="n"/>
      <c r="F58" s="13" t="n"/>
      <c r="G58" s="13" t="n"/>
      <c r="H58" s="13" t="n"/>
      <c r="I58" s="13" t="n"/>
      <c r="J58" s="29" t="n"/>
      <c r="K58" s="13" t="n"/>
    </row>
    <row r="59" ht="22" customHeight="1">
      <c r="B59" s="16">
        <f>IF(C59="","PD-"&amp;TEXT(COUNTA($C$5:C59),"000"))</f>
        <v/>
      </c>
      <c r="C59" s="11" t="n"/>
      <c r="D59" s="11" t="n"/>
      <c r="E59" s="22" t="n"/>
      <c r="F59" s="11" t="n"/>
      <c r="G59" s="11" t="n"/>
      <c r="H59" s="11" t="n"/>
      <c r="I59" s="11" t="n"/>
      <c r="J59" s="28" t="n"/>
      <c r="K59" s="11" t="n"/>
    </row>
    <row r="60" ht="22" customHeight="1">
      <c r="B60" s="15">
        <f>IF(C60="","PD-"&amp;TEXT(COUNTA($C$5:C60),"000"))</f>
        <v/>
      </c>
      <c r="C60" s="13" t="n"/>
      <c r="D60" s="13" t="n"/>
      <c r="E60" s="23" t="n"/>
      <c r="F60" s="13" t="n"/>
      <c r="G60" s="13" t="n"/>
      <c r="H60" s="13" t="n"/>
      <c r="I60" s="13" t="n"/>
      <c r="J60" s="29" t="n"/>
      <c r="K60" s="13" t="n"/>
    </row>
    <row r="61" ht="22" customHeight="1">
      <c r="B61" s="16">
        <f>IF(C61="","PD-"&amp;TEXT(COUNTA($C$5:C61),"000"))</f>
        <v/>
      </c>
      <c r="C61" s="11" t="n"/>
      <c r="D61" s="11" t="n"/>
      <c r="E61" s="22" t="n"/>
      <c r="F61" s="11" t="n"/>
      <c r="G61" s="11" t="n"/>
      <c r="H61" s="11" t="n"/>
      <c r="I61" s="11" t="n"/>
      <c r="J61" s="28" t="n"/>
      <c r="K61" s="11" t="n"/>
    </row>
    <row r="62" ht="22" customHeight="1">
      <c r="B62" s="15">
        <f>IF(C62="","PD-"&amp;TEXT(COUNTA($C$5:C62),"000"))</f>
        <v/>
      </c>
      <c r="C62" s="13" t="n"/>
      <c r="D62" s="13" t="n"/>
      <c r="E62" s="23" t="n"/>
      <c r="F62" s="13" t="n"/>
      <c r="G62" s="13" t="n"/>
      <c r="H62" s="13" t="n"/>
      <c r="I62" s="13" t="n"/>
      <c r="J62" s="29" t="n"/>
      <c r="K62" s="13" t="n"/>
    </row>
    <row r="63" ht="22" customHeight="1">
      <c r="B63" s="16">
        <f>IF(C63="","PD-"&amp;TEXT(COUNTA($C$5:C63),"000"))</f>
        <v/>
      </c>
      <c r="C63" s="11" t="n"/>
      <c r="D63" s="11" t="n"/>
      <c r="E63" s="22" t="n"/>
      <c r="F63" s="11" t="n"/>
      <c r="G63" s="11" t="n"/>
      <c r="H63" s="11" t="n"/>
      <c r="I63" s="11" t="n"/>
      <c r="J63" s="28" t="n"/>
      <c r="K63" s="11" t="n"/>
    </row>
    <row r="64" ht="22" customHeight="1">
      <c r="B64" s="15">
        <f>IF(C64="","PD-"&amp;TEXT(COUNTA($C$5:C64),"000"))</f>
        <v/>
      </c>
      <c r="C64" s="13" t="n"/>
      <c r="D64" s="13" t="n"/>
      <c r="E64" s="23" t="n"/>
      <c r="F64" s="13" t="n"/>
      <c r="G64" s="13" t="n"/>
      <c r="H64" s="13" t="n"/>
      <c r="I64" s="13" t="n"/>
      <c r="J64" s="29" t="n"/>
      <c r="K64" s="13" t="n"/>
    </row>
    <row r="65" ht="22" customHeight="1">
      <c r="B65" s="16">
        <f>IF(C65="","PD-"&amp;TEXT(COUNTA($C$5:C65),"000"))</f>
        <v/>
      </c>
      <c r="C65" s="11" t="n"/>
      <c r="D65" s="11" t="n"/>
      <c r="E65" s="22" t="n"/>
      <c r="F65" s="11" t="n"/>
      <c r="G65" s="11" t="n"/>
      <c r="H65" s="11" t="n"/>
      <c r="I65" s="11" t="n"/>
      <c r="J65" s="28" t="n"/>
      <c r="K65" s="11" t="n"/>
    </row>
    <row r="66" ht="22" customHeight="1">
      <c r="B66" s="15">
        <f>IF(C66="","PD-"&amp;TEXT(COUNTA($C$5:C66),"000"))</f>
        <v/>
      </c>
      <c r="C66" s="13" t="n"/>
      <c r="D66" s="13" t="n"/>
      <c r="E66" s="23" t="n"/>
      <c r="F66" s="13" t="n"/>
      <c r="G66" s="13" t="n"/>
      <c r="H66" s="13" t="n"/>
      <c r="I66" s="13" t="n"/>
      <c r="J66" s="29" t="n"/>
      <c r="K66" s="13" t="n"/>
    </row>
    <row r="67" ht="22" customHeight="1">
      <c r="B67" s="16">
        <f>IF(C67="","PD-"&amp;TEXT(COUNTA($C$5:C67),"000"))</f>
        <v/>
      </c>
      <c r="C67" s="11" t="n"/>
      <c r="D67" s="11" t="n"/>
      <c r="E67" s="22" t="n"/>
      <c r="F67" s="11" t="n"/>
      <c r="G67" s="11" t="n"/>
      <c r="H67" s="11" t="n"/>
      <c r="I67" s="11" t="n"/>
      <c r="J67" s="28" t="n"/>
      <c r="K67" s="11" t="n"/>
    </row>
    <row r="68" ht="22" customHeight="1">
      <c r="B68" s="15">
        <f>IF(C68="","PD-"&amp;TEXT(COUNTA($C$5:C68),"000"))</f>
        <v/>
      </c>
      <c r="C68" s="13" t="n"/>
      <c r="D68" s="13" t="n"/>
      <c r="E68" s="23" t="n"/>
      <c r="F68" s="13" t="n"/>
      <c r="G68" s="13" t="n"/>
      <c r="H68" s="13" t="n"/>
      <c r="I68" s="13" t="n"/>
      <c r="J68" s="29" t="n"/>
      <c r="K68" s="13" t="n"/>
    </row>
    <row r="69" ht="22" customHeight="1">
      <c r="B69" s="16">
        <f>IF(C69="","PD-"&amp;TEXT(COUNTA($C$5:C69),"000"))</f>
        <v/>
      </c>
      <c r="C69" s="11" t="n"/>
      <c r="D69" s="11" t="n"/>
      <c r="E69" s="22" t="n"/>
      <c r="F69" s="11" t="n"/>
      <c r="G69" s="11" t="n"/>
      <c r="H69" s="11" t="n"/>
      <c r="I69" s="11" t="n"/>
      <c r="J69" s="28" t="n"/>
      <c r="K69" s="11" t="n"/>
    </row>
    <row r="70" ht="22" customHeight="1">
      <c r="B70" s="15">
        <f>IF(C70="","PD-"&amp;TEXT(COUNTA($C$5:C70),"000"))</f>
        <v/>
      </c>
      <c r="C70" s="13" t="n"/>
      <c r="D70" s="13" t="n"/>
      <c r="E70" s="23" t="n"/>
      <c r="F70" s="13" t="n"/>
      <c r="G70" s="13" t="n"/>
      <c r="H70" s="13" t="n"/>
      <c r="I70" s="13" t="n"/>
      <c r="J70" s="29" t="n"/>
      <c r="K70" s="13" t="n"/>
    </row>
    <row r="71" ht="22" customHeight="1">
      <c r="B71" s="16">
        <f>IF(C71="","PD-"&amp;TEXT(COUNTA($C$5:C71),"000"))</f>
        <v/>
      </c>
      <c r="C71" s="11" t="n"/>
      <c r="D71" s="11" t="n"/>
      <c r="E71" s="22" t="n"/>
      <c r="F71" s="11" t="n"/>
      <c r="G71" s="11" t="n"/>
      <c r="H71" s="11" t="n"/>
      <c r="I71" s="11" t="n"/>
      <c r="J71" s="28" t="n"/>
      <c r="K71" s="11" t="n"/>
    </row>
    <row r="72" ht="22" customHeight="1">
      <c r="B72" s="15">
        <f>IF(C72="","PD-"&amp;TEXT(COUNTA($C$5:C72),"000"))</f>
        <v/>
      </c>
      <c r="C72" s="13" t="n"/>
      <c r="D72" s="13" t="n"/>
      <c r="E72" s="23" t="n"/>
      <c r="F72" s="13" t="n"/>
      <c r="G72" s="13" t="n"/>
      <c r="H72" s="13" t="n"/>
      <c r="I72" s="13" t="n"/>
      <c r="J72" s="29" t="n"/>
      <c r="K72" s="13" t="n"/>
    </row>
    <row r="73" ht="22" customHeight="1">
      <c r="B73" s="16">
        <f>IF(C73="","PD-"&amp;TEXT(COUNTA($C$5:C73),"000"))</f>
        <v/>
      </c>
      <c r="C73" s="11" t="n"/>
      <c r="D73" s="11" t="n"/>
      <c r="E73" s="22" t="n"/>
      <c r="F73" s="11" t="n"/>
      <c r="G73" s="11" t="n"/>
      <c r="H73" s="11" t="n"/>
      <c r="I73" s="11" t="n"/>
      <c r="J73" s="28" t="n"/>
      <c r="K73" s="11" t="n"/>
    </row>
    <row r="74" ht="22" customHeight="1">
      <c r="B74" s="15">
        <f>IF(C74="","PD-"&amp;TEXT(COUNTA($C$5:C74),"000"))</f>
        <v/>
      </c>
      <c r="C74" s="13" t="n"/>
      <c r="D74" s="13" t="n"/>
      <c r="E74" s="23" t="n"/>
      <c r="F74" s="13" t="n"/>
      <c r="G74" s="13" t="n"/>
      <c r="H74" s="13" t="n"/>
      <c r="I74" s="13" t="n"/>
      <c r="J74" s="29" t="n"/>
      <c r="K74" s="13" t="n"/>
    </row>
    <row r="75" ht="22" customHeight="1">
      <c r="B75" s="16">
        <f>IF(C75="","PD-"&amp;TEXT(COUNTA($C$5:C75),"000"))</f>
        <v/>
      </c>
      <c r="C75" s="11" t="n"/>
      <c r="D75" s="11" t="n"/>
      <c r="E75" s="22" t="n"/>
      <c r="F75" s="11" t="n"/>
      <c r="G75" s="11" t="n"/>
      <c r="H75" s="11" t="n"/>
      <c r="I75" s="11" t="n"/>
      <c r="J75" s="28" t="n"/>
      <c r="K75" s="11" t="n"/>
    </row>
    <row r="76" ht="22" customHeight="1">
      <c r="B76" s="15">
        <f>IF(C76="","PD-"&amp;TEXT(COUNTA($C$5:C76),"000"))</f>
        <v/>
      </c>
      <c r="C76" s="13" t="n"/>
      <c r="D76" s="13" t="n"/>
      <c r="E76" s="23" t="n"/>
      <c r="F76" s="13" t="n"/>
      <c r="G76" s="13" t="n"/>
      <c r="H76" s="13" t="n"/>
      <c r="I76" s="13" t="n"/>
      <c r="J76" s="29" t="n"/>
      <c r="K76" s="13" t="n"/>
    </row>
    <row r="77" ht="22" customHeight="1">
      <c r="B77" s="16">
        <f>IF(C77="","PD-"&amp;TEXT(COUNTA($C$5:C77),"000"))</f>
        <v/>
      </c>
      <c r="C77" s="11" t="n"/>
      <c r="D77" s="11" t="n"/>
      <c r="E77" s="22" t="n"/>
      <c r="F77" s="11" t="n"/>
      <c r="G77" s="11" t="n"/>
      <c r="H77" s="11" t="n"/>
      <c r="I77" s="11" t="n"/>
      <c r="J77" s="28" t="n"/>
      <c r="K77" s="11" t="n"/>
    </row>
    <row r="78" ht="22" customHeight="1">
      <c r="B78" s="15">
        <f>IF(C78="","PD-"&amp;TEXT(COUNTA($C$5:C78),"000"))</f>
        <v/>
      </c>
      <c r="C78" s="13" t="n"/>
      <c r="D78" s="13" t="n"/>
      <c r="E78" s="23" t="n"/>
      <c r="F78" s="13" t="n"/>
      <c r="G78" s="13" t="n"/>
      <c r="H78" s="13" t="n"/>
      <c r="I78" s="13" t="n"/>
      <c r="J78" s="29" t="n"/>
      <c r="K78" s="13" t="n"/>
    </row>
    <row r="79" ht="22" customHeight="1">
      <c r="B79" s="16">
        <f>IF(C79="","PD-"&amp;TEXT(COUNTA($C$5:C79),"000"))</f>
        <v/>
      </c>
      <c r="C79" s="11" t="n"/>
      <c r="D79" s="11" t="n"/>
      <c r="E79" s="22" t="n"/>
      <c r="F79" s="11" t="n"/>
      <c r="G79" s="11" t="n"/>
      <c r="H79" s="11" t="n"/>
      <c r="I79" s="11" t="n"/>
      <c r="J79" s="28" t="n"/>
      <c r="K79" s="11" t="n"/>
    </row>
    <row r="80" ht="22" customHeight="1">
      <c r="B80" s="15">
        <f>IF(C80="","PD-"&amp;TEXT(COUNTA($C$5:C80),"000"))</f>
        <v/>
      </c>
      <c r="C80" s="13" t="n"/>
      <c r="D80" s="13" t="n"/>
      <c r="E80" s="23" t="n"/>
      <c r="F80" s="13" t="n"/>
      <c r="G80" s="13" t="n"/>
      <c r="H80" s="13" t="n"/>
      <c r="I80" s="13" t="n"/>
      <c r="J80" s="29" t="n"/>
      <c r="K80" s="13" t="n"/>
    </row>
    <row r="81" ht="22" customHeight="1">
      <c r="B81" s="16">
        <f>IF(C81="","PD-"&amp;TEXT(COUNTA($C$5:C81),"000"))</f>
        <v/>
      </c>
      <c r="C81" s="11" t="n"/>
      <c r="D81" s="11" t="n"/>
      <c r="E81" s="22" t="n"/>
      <c r="F81" s="11" t="n"/>
      <c r="G81" s="11" t="n"/>
      <c r="H81" s="11" t="n"/>
      <c r="I81" s="11" t="n"/>
      <c r="J81" s="28" t="n"/>
      <c r="K81" s="11" t="n"/>
    </row>
    <row r="82" ht="22" customHeight="1">
      <c r="B82" s="15">
        <f>IF(C82="","PD-"&amp;TEXT(COUNTA($C$5:C82),"000"))</f>
        <v/>
      </c>
      <c r="C82" s="13" t="n"/>
      <c r="D82" s="13" t="n"/>
      <c r="E82" s="23" t="n"/>
      <c r="F82" s="13" t="n"/>
      <c r="G82" s="13" t="n"/>
      <c r="H82" s="13" t="n"/>
      <c r="I82" s="13" t="n"/>
      <c r="J82" s="29" t="n"/>
      <c r="K82" s="13" t="n"/>
    </row>
    <row r="83" ht="22" customHeight="1">
      <c r="B83" s="16">
        <f>IF(C83="","PD-"&amp;TEXT(COUNTA($C$5:C83),"000"))</f>
        <v/>
      </c>
      <c r="C83" s="11" t="n"/>
      <c r="D83" s="11" t="n"/>
      <c r="E83" s="22" t="n"/>
      <c r="F83" s="11" t="n"/>
      <c r="G83" s="11" t="n"/>
      <c r="H83" s="11" t="n"/>
      <c r="I83" s="11" t="n"/>
      <c r="J83" s="28" t="n"/>
      <c r="K83" s="11" t="n"/>
    </row>
    <row r="84" ht="22" customHeight="1">
      <c r="B84" s="15">
        <f>IF(C84="","PD-"&amp;TEXT(COUNTA($C$5:C84),"000"))</f>
        <v/>
      </c>
      <c r="C84" s="13" t="n"/>
      <c r="D84" s="13" t="n"/>
      <c r="E84" s="23" t="n"/>
      <c r="F84" s="13" t="n"/>
      <c r="G84" s="13" t="n"/>
      <c r="H84" s="13" t="n"/>
      <c r="I84" s="13" t="n"/>
      <c r="J84" s="29" t="n"/>
      <c r="K84" s="13" t="n"/>
    </row>
    <row r="85" ht="22" customHeight="1">
      <c r="B85" s="16">
        <f>IF(C85="","PD-"&amp;TEXT(COUNTA($C$5:C85),"000"))</f>
        <v/>
      </c>
      <c r="C85" s="11" t="n"/>
      <c r="D85" s="11" t="n"/>
      <c r="E85" s="22" t="n"/>
      <c r="F85" s="11" t="n"/>
      <c r="G85" s="11" t="n"/>
      <c r="H85" s="11" t="n"/>
      <c r="I85" s="11" t="n"/>
      <c r="J85" s="28" t="n"/>
      <c r="K85" s="11" t="n"/>
    </row>
    <row r="86" ht="22" customHeight="1">
      <c r="B86" s="15">
        <f>IF(C86="","PD-"&amp;TEXT(COUNTA($C$5:C86),"000"))</f>
        <v/>
      </c>
      <c r="C86" s="13" t="n"/>
      <c r="D86" s="13" t="n"/>
      <c r="E86" s="23" t="n"/>
      <c r="F86" s="13" t="n"/>
      <c r="G86" s="13" t="n"/>
      <c r="H86" s="13" t="n"/>
      <c r="I86" s="13" t="n"/>
      <c r="J86" s="29" t="n"/>
      <c r="K86" s="13" t="n"/>
    </row>
    <row r="87" ht="22" customHeight="1">
      <c r="B87" s="16">
        <f>IF(C87="","PD-"&amp;TEXT(COUNTA($C$5:C87),"000"))</f>
        <v/>
      </c>
      <c r="C87" s="11" t="n"/>
      <c r="D87" s="11" t="n"/>
      <c r="E87" s="22" t="n"/>
      <c r="F87" s="11" t="n"/>
      <c r="G87" s="11" t="n"/>
      <c r="H87" s="11" t="n"/>
      <c r="I87" s="11" t="n"/>
      <c r="J87" s="28" t="n"/>
      <c r="K87" s="11" t="n"/>
    </row>
    <row r="88" ht="22" customHeight="1">
      <c r="B88" s="15">
        <f>IF(C88="","PD-"&amp;TEXT(COUNTA($C$5:C88),"000"))</f>
        <v/>
      </c>
      <c r="C88" s="13" t="n"/>
      <c r="D88" s="13" t="n"/>
      <c r="E88" s="23" t="n"/>
      <c r="F88" s="13" t="n"/>
      <c r="G88" s="13" t="n"/>
      <c r="H88" s="13" t="n"/>
      <c r="I88" s="13" t="n"/>
      <c r="J88" s="29" t="n"/>
      <c r="K88" s="13" t="n"/>
    </row>
    <row r="89" ht="22" customHeight="1">
      <c r="B89" s="16">
        <f>IF(C89="","PD-"&amp;TEXT(COUNTA($C$5:C89),"000"))</f>
        <v/>
      </c>
      <c r="C89" s="11" t="n"/>
      <c r="D89" s="11" t="n"/>
      <c r="E89" s="22" t="n"/>
      <c r="F89" s="11" t="n"/>
      <c r="G89" s="11" t="n"/>
      <c r="H89" s="11" t="n"/>
      <c r="I89" s="11" t="n"/>
      <c r="J89" s="28" t="n"/>
      <c r="K89" s="11" t="n"/>
    </row>
    <row r="90" ht="22" customHeight="1">
      <c r="B90" s="15">
        <f>IF(C90="","PD-"&amp;TEXT(COUNTA($C$5:C90),"000"))</f>
        <v/>
      </c>
      <c r="C90" s="13" t="n"/>
      <c r="D90" s="13" t="n"/>
      <c r="E90" s="23" t="n"/>
      <c r="F90" s="13" t="n"/>
      <c r="G90" s="13" t="n"/>
      <c r="H90" s="13" t="n"/>
      <c r="I90" s="13" t="n"/>
      <c r="J90" s="29" t="n"/>
      <c r="K90" s="13" t="n"/>
    </row>
    <row r="91" ht="22" customHeight="1">
      <c r="B91" s="16">
        <f>IF(C91="","PD-"&amp;TEXT(COUNTA($C$5:C91),"000"))</f>
        <v/>
      </c>
      <c r="C91" s="11" t="n"/>
      <c r="D91" s="11" t="n"/>
      <c r="E91" s="22" t="n"/>
      <c r="F91" s="11" t="n"/>
      <c r="G91" s="11" t="n"/>
      <c r="H91" s="11" t="n"/>
      <c r="I91" s="11" t="n"/>
      <c r="J91" s="28" t="n"/>
      <c r="K91" s="11" t="n"/>
    </row>
    <row r="92" ht="22" customHeight="1">
      <c r="B92" s="15">
        <f>IF(C92="","PD-"&amp;TEXT(COUNTA($C$5:C92),"000"))</f>
        <v/>
      </c>
      <c r="C92" s="13" t="n"/>
      <c r="D92" s="13" t="n"/>
      <c r="E92" s="23" t="n"/>
      <c r="F92" s="13" t="n"/>
      <c r="G92" s="13" t="n"/>
      <c r="H92" s="13" t="n"/>
      <c r="I92" s="13" t="n"/>
      <c r="J92" s="29" t="n"/>
      <c r="K92" s="13" t="n"/>
    </row>
    <row r="93" ht="22" customHeight="1">
      <c r="B93" s="16">
        <f>IF(C93="","PD-"&amp;TEXT(COUNTA($C$5:C93),"000"))</f>
        <v/>
      </c>
      <c r="C93" s="11" t="n"/>
      <c r="D93" s="11" t="n"/>
      <c r="E93" s="22" t="n"/>
      <c r="F93" s="11" t="n"/>
      <c r="G93" s="11" t="n"/>
      <c r="H93" s="11" t="n"/>
      <c r="I93" s="11" t="n"/>
      <c r="J93" s="28" t="n"/>
      <c r="K93" s="11" t="n"/>
    </row>
    <row r="94" ht="22" customHeight="1">
      <c r="B94" s="15">
        <f>IF(C94="","PD-"&amp;TEXT(COUNTA($C$5:C94),"000"))</f>
        <v/>
      </c>
      <c r="C94" s="13" t="n"/>
      <c r="D94" s="13" t="n"/>
      <c r="E94" s="23" t="n"/>
      <c r="F94" s="13" t="n"/>
      <c r="G94" s="13" t="n"/>
      <c r="H94" s="13" t="n"/>
      <c r="I94" s="13" t="n"/>
      <c r="J94" s="29" t="n"/>
      <c r="K94" s="13" t="n"/>
    </row>
    <row r="95" ht="22" customHeight="1">
      <c r="B95" s="16">
        <f>IF(C95="","PD-"&amp;TEXT(COUNTA($C$5:C95),"000"))</f>
        <v/>
      </c>
      <c r="C95" s="11" t="n"/>
      <c r="D95" s="11" t="n"/>
      <c r="E95" s="22" t="n"/>
      <c r="F95" s="11" t="n"/>
      <c r="G95" s="11" t="n"/>
      <c r="H95" s="11" t="n"/>
      <c r="I95" s="11" t="n"/>
      <c r="J95" s="28" t="n"/>
      <c r="K95" s="11" t="n"/>
    </row>
    <row r="96" ht="22" customHeight="1">
      <c r="B96" s="15">
        <f>IF(C96="","PD-"&amp;TEXT(COUNTA($C$5:C96),"000"))</f>
        <v/>
      </c>
      <c r="C96" s="13" t="n"/>
      <c r="D96" s="13" t="n"/>
      <c r="E96" s="23" t="n"/>
      <c r="F96" s="13" t="n"/>
      <c r="G96" s="13" t="n"/>
      <c r="H96" s="13" t="n"/>
      <c r="I96" s="13" t="n"/>
      <c r="J96" s="29" t="n"/>
      <c r="K96" s="13" t="n"/>
    </row>
    <row r="97" ht="22" customHeight="1">
      <c r="B97" s="16">
        <f>IF(C97="","PD-"&amp;TEXT(COUNTA($C$5:C97),"000"))</f>
        <v/>
      </c>
      <c r="C97" s="11" t="n"/>
      <c r="D97" s="11" t="n"/>
      <c r="E97" s="22" t="n"/>
      <c r="F97" s="11" t="n"/>
      <c r="G97" s="11" t="n"/>
      <c r="H97" s="11" t="n"/>
      <c r="I97" s="11" t="n"/>
      <c r="J97" s="28" t="n"/>
      <c r="K97" s="11" t="n"/>
    </row>
    <row r="98" ht="22" customHeight="1">
      <c r="B98" s="15">
        <f>IF(C98="","PD-"&amp;TEXT(COUNTA($C$5:C98),"000"))</f>
        <v/>
      </c>
      <c r="C98" s="13" t="n"/>
      <c r="D98" s="13" t="n"/>
      <c r="E98" s="23" t="n"/>
      <c r="F98" s="13" t="n"/>
      <c r="G98" s="13" t="n"/>
      <c r="H98" s="13" t="n"/>
      <c r="I98" s="13" t="n"/>
      <c r="J98" s="29" t="n"/>
      <c r="K98" s="13" t="n"/>
    </row>
    <row r="99" ht="22" customHeight="1">
      <c r="B99" s="16">
        <f>IF(C99="","PD-"&amp;TEXT(COUNTA($C$5:C99),"000"))</f>
        <v/>
      </c>
      <c r="C99" s="11" t="n"/>
      <c r="D99" s="11" t="n"/>
      <c r="E99" s="22" t="n"/>
      <c r="F99" s="11" t="n"/>
      <c r="G99" s="11" t="n"/>
      <c r="H99" s="11" t="n"/>
      <c r="I99" s="11" t="n"/>
      <c r="J99" s="28" t="n"/>
      <c r="K99" s="11" t="n"/>
    </row>
    <row r="100" ht="22" customHeight="1">
      <c r="B100" s="15">
        <f>IF(C100="","PD-"&amp;TEXT(COUNTA($C$5:C100),"000"))</f>
        <v/>
      </c>
      <c r="C100" s="13" t="n"/>
      <c r="D100" s="13" t="n"/>
      <c r="E100" s="23" t="n"/>
      <c r="F100" s="13" t="n"/>
      <c r="G100" s="13" t="n"/>
      <c r="H100" s="13" t="n"/>
      <c r="I100" s="13" t="n"/>
      <c r="J100" s="29" t="n"/>
      <c r="K100" s="13" t="n"/>
    </row>
    <row r="101" ht="22" customHeight="1">
      <c r="B101" s="16">
        <f>IF(C101="","PD-"&amp;TEXT(COUNTA($C$5:C101),"000"))</f>
        <v/>
      </c>
      <c r="C101" s="11" t="n"/>
      <c r="D101" s="11" t="n"/>
      <c r="E101" s="22" t="n"/>
      <c r="F101" s="11" t="n"/>
      <c r="G101" s="11" t="n"/>
      <c r="H101" s="11" t="n"/>
      <c r="I101" s="11" t="n"/>
      <c r="J101" s="28" t="n"/>
      <c r="K101" s="11" t="n"/>
    </row>
    <row r="102" ht="22" customHeight="1">
      <c r="B102" s="15">
        <f>IF(C102="","PD-"&amp;TEXT(COUNTA($C$5:C102),"000"))</f>
        <v/>
      </c>
      <c r="C102" s="13" t="n"/>
      <c r="D102" s="13" t="n"/>
      <c r="E102" s="23" t="n"/>
      <c r="F102" s="13" t="n"/>
      <c r="G102" s="13" t="n"/>
      <c r="H102" s="13" t="n"/>
      <c r="I102" s="13" t="n"/>
      <c r="J102" s="29" t="n"/>
      <c r="K102" s="13" t="n"/>
    </row>
    <row r="103" ht="22" customHeight="1">
      <c r="B103" s="16">
        <f>IF(C103="","PD-"&amp;TEXT(COUNTA($C$5:C103),"000"))</f>
        <v/>
      </c>
      <c r="C103" s="11" t="n"/>
      <c r="D103" s="11" t="n"/>
      <c r="E103" s="22" t="n"/>
      <c r="F103" s="11" t="n"/>
      <c r="G103" s="11" t="n"/>
      <c r="H103" s="11" t="n"/>
      <c r="I103" s="11" t="n"/>
      <c r="J103" s="28" t="n"/>
      <c r="K103" s="11" t="n"/>
    </row>
    <row r="104" ht="22" customHeight="1">
      <c r="B104" s="15">
        <f>IF(C104="","PD-"&amp;TEXT(COUNTA($C$5:C104),"000"))</f>
        <v/>
      </c>
      <c r="C104" s="13" t="n"/>
      <c r="D104" s="13" t="n"/>
      <c r="E104" s="23" t="n"/>
      <c r="F104" s="13" t="n"/>
      <c r="G104" s="13" t="n"/>
      <c r="H104" s="13" t="n"/>
      <c r="I104" s="13" t="n"/>
      <c r="J104" s="29" t="n"/>
      <c r="K104" s="13" t="n"/>
    </row>
    <row r="105" ht="22" customHeight="1">
      <c r="B105" s="16">
        <f>IF(C105="","PD-"&amp;TEXT(COUNTA($C$5:C105),"000"))</f>
        <v/>
      </c>
      <c r="C105" s="11" t="n"/>
      <c r="D105" s="11" t="n"/>
      <c r="E105" s="22" t="n"/>
      <c r="F105" s="11" t="n"/>
      <c r="G105" s="11" t="n"/>
      <c r="H105" s="11" t="n"/>
      <c r="I105" s="11" t="n"/>
      <c r="J105" s="28" t="n"/>
      <c r="K105" s="11" t="n"/>
    </row>
    <row r="106" ht="22" customHeight="1">
      <c r="B106" s="15">
        <f>IF(C106="","PD-"&amp;TEXT(COUNTA($C$5:C106),"000"))</f>
        <v/>
      </c>
      <c r="C106" s="13" t="n"/>
      <c r="D106" s="13" t="n"/>
      <c r="E106" s="23" t="n"/>
      <c r="F106" s="13" t="n"/>
      <c r="G106" s="13" t="n"/>
      <c r="H106" s="13" t="n"/>
      <c r="I106" s="13" t="n"/>
      <c r="J106" s="29" t="n"/>
      <c r="K106" s="13" t="n"/>
    </row>
    <row r="107" ht="22" customHeight="1">
      <c r="B107" s="16">
        <f>IF(C107="","PD-"&amp;TEXT(COUNTA($C$5:C107),"000"))</f>
        <v/>
      </c>
      <c r="C107" s="11" t="n"/>
      <c r="D107" s="11" t="n"/>
      <c r="E107" s="22" t="n"/>
      <c r="F107" s="11" t="n"/>
      <c r="G107" s="11" t="n"/>
      <c r="H107" s="11" t="n"/>
      <c r="I107" s="11" t="n"/>
      <c r="J107" s="28" t="n"/>
      <c r="K107" s="11" t="n"/>
    </row>
    <row r="108" ht="22" customHeight="1">
      <c r="B108" s="15">
        <f>IF(C108="","PD-"&amp;TEXT(COUNTA($C$5:C108),"000"))</f>
        <v/>
      </c>
      <c r="C108" s="13" t="n"/>
      <c r="D108" s="13" t="n"/>
      <c r="E108" s="23" t="n"/>
      <c r="F108" s="13" t="n"/>
      <c r="G108" s="13" t="n"/>
      <c r="H108" s="13" t="n"/>
      <c r="I108" s="13" t="n"/>
      <c r="J108" s="29" t="n"/>
      <c r="K108" s="13" t="n"/>
    </row>
    <row r="109" ht="22" customHeight="1">
      <c r="B109" s="16">
        <f>IF(C109="","PD-"&amp;TEXT(COUNTA($C$5:C109),"000"))</f>
        <v/>
      </c>
      <c r="C109" s="11" t="n"/>
      <c r="D109" s="11" t="n"/>
      <c r="E109" s="22" t="n"/>
      <c r="F109" s="11" t="n"/>
      <c r="G109" s="11" t="n"/>
      <c r="H109" s="11" t="n"/>
      <c r="I109" s="11" t="n"/>
      <c r="J109" s="28" t="n"/>
      <c r="K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1">
        <f>SUM(E5:E104)</f>
        <v/>
      </c>
      <c r="F111" s="20" t="n"/>
      <c r="G111" s="20" t="n"/>
      <c r="H111" s="20" t="n"/>
      <c r="I111" s="20" t="n"/>
      <c r="J111" s="20" t="n"/>
      <c r="K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Produits</t>
        </is>
      </c>
      <c r="D114" s="3" t="inlineStr">
        <is>
          <t>Fiches securite OK</t>
        </is>
      </c>
      <c r="F114" s="3" t="inlineStr">
        <is>
          <t>Sans fiche securite</t>
        </is>
      </c>
      <c r="H114" s="3" t="inlineStr">
        <is>
          <t>Total en stock</t>
        </is>
      </c>
    </row>
    <row r="115">
      <c r="B115" s="4">
        <f>COUNTIF(B5:B104,"&lt;&gt;")</f>
        <v/>
      </c>
      <c r="D115" s="4">
        <f>COUNTIF(F5:F104,"Oui")</f>
        <v/>
      </c>
      <c r="F115" s="4">
        <f>COUNTIF(F5:F104,"Non")</f>
        <v/>
      </c>
      <c r="H115" s="4">
        <f>SUM(E5:E104)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conditionalFormatting sqref="K10:K109">
    <cfRule type="expression" priority="159" dxfId="0">
      <formula>AND($C10="",$C9&lt;&gt;"")</formula>
    </cfRule>
  </conditionalFormatting>
  <dataValidations count="3">
    <dataValidation sqref="G5:G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H5:H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K5:K109" showDropDown="0" showInputMessage="0" showErrorMessage="0" allowBlank="1" errorTitle="Erreur" error="Valeur invalide" promptTitle="Liste" prompt="Choisir dans la liste" type="list">
      <formula1>'_Lists'!$Q$2:$Q$7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20" customWidth="1" min="4" max="4"/>
    <col width="24" customWidth="1" min="5" max="5"/>
    <col width="40" customWidth="1" min="6" max="6"/>
    <col width="24" customWidth="1" min="7" max="7"/>
    <col width="18" customWidth="1" min="8" max="8"/>
    <col width="22" customWidth="1" min="9" max="9"/>
    <col width="22" customWidth="1" min="10" max="10"/>
  </cols>
  <sheetData>
    <row r="1" ht="15" customHeight="1"/>
    <row r="2" ht="32" customHeight="1">
      <c r="B2" s="1" t="inlineStr">
        <is>
          <t>REGISTRE INCENDIE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Date</t>
        </is>
      </c>
      <c r="D4" s="10" t="inlineStr">
        <is>
          <t>Type Evenement</t>
        </is>
      </c>
      <c r="E4" s="10" t="inlineStr">
        <is>
          <t>Lieu</t>
        </is>
      </c>
      <c r="F4" s="10" t="inlineStr">
        <is>
          <t>Description</t>
        </is>
      </c>
      <c r="G4" s="10" t="inlineStr">
        <is>
          <t>Degats</t>
        </is>
      </c>
      <c r="H4" s="10" t="inlineStr">
        <is>
          <t>Extincteur Utilise</t>
        </is>
      </c>
      <c r="I4" s="10" t="inlineStr">
        <is>
          <t>Intervention Pompier</t>
        </is>
      </c>
      <c r="J4" s="10" t="inlineStr">
        <is>
          <t>Statut</t>
        </is>
      </c>
    </row>
    <row r="5" ht="22" customHeight="1">
      <c r="B5" s="11" t="inlineStr">
        <is>
          <t>INC-001</t>
        </is>
      </c>
      <c r="C5" s="28" t="n">
        <v>45677</v>
      </c>
      <c r="D5" s="11" t="inlineStr">
        <is>
          <t>Debut incendie</t>
        </is>
      </c>
      <c r="E5" s="11" t="inlineStr">
        <is>
          <t>Cuisine - friteuse</t>
        </is>
      </c>
      <c r="F5" s="11" t="inlineStr">
        <is>
          <t>Huile surchauffee, flamme dans hotte</t>
        </is>
      </c>
      <c r="G5" s="11" t="inlineStr">
        <is>
          <t>Materiel (hotte)</t>
        </is>
      </c>
      <c r="H5" s="11" t="inlineStr">
        <is>
          <t>Oui - CO2</t>
        </is>
      </c>
      <c r="I5" s="11" t="inlineStr">
        <is>
          <t>Non</t>
        </is>
      </c>
      <c r="J5" s="11" t="inlineStr">
        <is>
          <t>Cloture</t>
        </is>
      </c>
    </row>
    <row r="6" ht="22" customHeight="1">
      <c r="B6" s="13" t="inlineStr">
        <is>
          <t>INC-002</t>
        </is>
      </c>
      <c r="C6" s="29" t="n">
        <v>45795</v>
      </c>
      <c r="D6" s="13" t="inlineStr">
        <is>
          <t>Fausse alarme</t>
        </is>
      </c>
      <c r="E6" s="13" t="inlineStr">
        <is>
          <t>Etage 3</t>
        </is>
      </c>
      <c r="F6" s="13" t="inlineStr">
        <is>
          <t>Fumee cuisine declenche detecteur etage 3</t>
        </is>
      </c>
      <c r="G6" s="13" t="inlineStr">
        <is>
          <t>Aucun</t>
        </is>
      </c>
      <c r="H6" s="13" t="inlineStr">
        <is>
          <t>Non</t>
        </is>
      </c>
      <c r="I6" s="13" t="inlineStr">
        <is>
          <t>Non</t>
        </is>
      </c>
      <c r="J6" s="13" t="inlineStr">
        <is>
          <t>Cloture</t>
        </is>
      </c>
    </row>
    <row r="7" ht="22" customHeight="1">
      <c r="B7" s="11" t="inlineStr">
        <is>
          <t>INC-003</t>
        </is>
      </c>
      <c r="C7" s="28" t="n">
        <v>45514</v>
      </c>
      <c r="D7" s="11" t="inlineStr">
        <is>
          <t>Court-circuit</t>
        </is>
      </c>
      <c r="E7" s="11" t="inlineStr">
        <is>
          <t>Local technique RDC</t>
        </is>
      </c>
      <c r="F7" s="11" t="inlineStr">
        <is>
          <t>Court-circuit tableau electrique RDC, fumee</t>
        </is>
      </c>
      <c r="G7" s="11" t="inlineStr">
        <is>
          <t>Tableau electrique</t>
        </is>
      </c>
      <c r="H7" s="11" t="inlineStr">
        <is>
          <t>Oui - Poudre</t>
        </is>
      </c>
      <c r="I7" s="11" t="inlineStr">
        <is>
          <t>Oui</t>
        </is>
      </c>
      <c r="J7" s="11" t="inlineStr">
        <is>
          <t>Cloture</t>
        </is>
      </c>
    </row>
    <row r="8" ht="22" customHeight="1">
      <c r="B8" s="13" t="inlineStr">
        <is>
          <t>INC-004</t>
        </is>
      </c>
      <c r="C8" s="29" t="n">
        <v>45836</v>
      </c>
      <c r="D8" s="13" t="inlineStr">
        <is>
          <t>Fumee suspecte</t>
        </is>
      </c>
      <c r="E8" s="13" t="inlineStr">
        <is>
          <t>Sous-sol</t>
        </is>
      </c>
      <c r="F8" s="13" t="inlineStr">
        <is>
          <t>Odeur de brule detectee sous-sol, origine inconnue</t>
        </is>
      </c>
      <c r="G8" s="13" t="inlineStr">
        <is>
          <t>Aucun</t>
        </is>
      </c>
      <c r="H8" s="13" t="inlineStr">
        <is>
          <t>Non</t>
        </is>
      </c>
      <c r="I8" s="13" t="inlineStr">
        <is>
          <t>Non</t>
        </is>
      </c>
      <c r="J8" s="13" t="inlineStr">
        <is>
          <t>En cours d'enquete</t>
        </is>
      </c>
    </row>
    <row r="9" ht="22" customHeight="1">
      <c r="B9" s="16">
        <f>IF(C9="","INC-"&amp;TEXT(COUNTA($C$5:C9),"000"))</f>
        <v/>
      </c>
      <c r="C9" s="28" t="n"/>
      <c r="D9" s="11" t="n"/>
      <c r="E9" s="11" t="n"/>
      <c r="F9" s="11" t="n"/>
      <c r="G9" s="11" t="n"/>
      <c r="H9" s="11" t="n"/>
      <c r="I9" s="11" t="n"/>
      <c r="J9" s="11" t="n"/>
    </row>
    <row r="10" ht="22" customHeight="1">
      <c r="B10" s="15">
        <f>IF(C10="","INC-"&amp;TEXT(COUNTA($C$5:C10),"000"))</f>
        <v/>
      </c>
      <c r="C10" s="29" t="n"/>
      <c r="D10" s="13" t="n"/>
      <c r="E10" s="13" t="n"/>
      <c r="F10" s="13" t="n"/>
      <c r="G10" s="13" t="n"/>
      <c r="H10" s="13" t="n"/>
      <c r="I10" s="13" t="n"/>
      <c r="J10" s="13" t="n"/>
    </row>
    <row r="11" ht="22" customHeight="1">
      <c r="B11" s="16">
        <f>IF(C11="","INC-"&amp;TEXT(COUNTA($C$5:C11),"000"))</f>
        <v/>
      </c>
      <c r="C11" s="28" t="n"/>
      <c r="D11" s="11" t="n"/>
      <c r="E11" s="11" t="n"/>
      <c r="F11" s="11" t="n"/>
      <c r="G11" s="11" t="n"/>
      <c r="H11" s="11" t="n"/>
      <c r="I11" s="11" t="n"/>
      <c r="J11" s="11" t="n"/>
    </row>
    <row r="12" ht="22" customHeight="1">
      <c r="B12" s="15">
        <f>IF(C12="","INC-"&amp;TEXT(COUNTA($C$5:C12),"000"))</f>
        <v/>
      </c>
      <c r="C12" s="29" t="n"/>
      <c r="D12" s="13" t="n"/>
      <c r="E12" s="13" t="n"/>
      <c r="F12" s="13" t="n"/>
      <c r="G12" s="13" t="n"/>
      <c r="H12" s="13" t="n"/>
      <c r="I12" s="13" t="n"/>
      <c r="J12" s="13" t="n"/>
    </row>
    <row r="13" ht="22" customHeight="1">
      <c r="B13" s="16">
        <f>IF(C13="","INC-"&amp;TEXT(COUNTA($C$5:C13),"000"))</f>
        <v/>
      </c>
      <c r="C13" s="28" t="n"/>
      <c r="D13" s="11" t="n"/>
      <c r="E13" s="11" t="n"/>
      <c r="F13" s="11" t="n"/>
      <c r="G13" s="11" t="n"/>
      <c r="H13" s="11" t="n"/>
      <c r="I13" s="11" t="n"/>
      <c r="J13" s="11" t="n"/>
    </row>
    <row r="14" ht="22" customHeight="1">
      <c r="B14" s="15">
        <f>IF(C14="","INC-"&amp;TEXT(COUNTA($C$5:C14),"000"))</f>
        <v/>
      </c>
      <c r="C14" s="29" t="n"/>
      <c r="D14" s="13" t="n"/>
      <c r="E14" s="13" t="n"/>
      <c r="F14" s="13" t="n"/>
      <c r="G14" s="13" t="n"/>
      <c r="H14" s="13" t="n"/>
      <c r="I14" s="13" t="n"/>
      <c r="J14" s="13" t="n"/>
    </row>
    <row r="15" ht="22" customHeight="1">
      <c r="B15" s="16">
        <f>IF(C15="","INC-"&amp;TEXT(COUNTA($C$5:C15),"000"))</f>
        <v/>
      </c>
      <c r="C15" s="28" t="n"/>
      <c r="D15" s="11" t="n"/>
      <c r="E15" s="11" t="n"/>
      <c r="F15" s="11" t="n"/>
      <c r="G15" s="11" t="n"/>
      <c r="H15" s="11" t="n"/>
      <c r="I15" s="11" t="n"/>
      <c r="J15" s="11" t="n"/>
    </row>
    <row r="16" ht="22" customHeight="1">
      <c r="B16" s="15">
        <f>IF(C16="","INC-"&amp;TEXT(COUNTA($C$5:C16),"000"))</f>
        <v/>
      </c>
      <c r="C16" s="29" t="n"/>
      <c r="D16" s="13" t="n"/>
      <c r="E16" s="13" t="n"/>
      <c r="F16" s="13" t="n"/>
      <c r="G16" s="13" t="n"/>
      <c r="H16" s="13" t="n"/>
      <c r="I16" s="13" t="n"/>
      <c r="J16" s="13" t="n"/>
    </row>
    <row r="17" ht="22" customHeight="1">
      <c r="B17" s="16">
        <f>IF(C17="","INC-"&amp;TEXT(COUNTA($C$5:C17),"000"))</f>
        <v/>
      </c>
      <c r="C17" s="28" t="n"/>
      <c r="D17" s="11" t="n"/>
      <c r="E17" s="11" t="n"/>
      <c r="F17" s="11" t="n"/>
      <c r="G17" s="11" t="n"/>
      <c r="H17" s="11" t="n"/>
      <c r="I17" s="11" t="n"/>
      <c r="J17" s="11" t="n"/>
    </row>
    <row r="18" ht="22" customHeight="1">
      <c r="B18" s="15">
        <f>IF(C18="","INC-"&amp;TEXT(COUNTA($C$5:C18),"000"))</f>
        <v/>
      </c>
      <c r="C18" s="29" t="n"/>
      <c r="D18" s="13" t="n"/>
      <c r="E18" s="13" t="n"/>
      <c r="F18" s="13" t="n"/>
      <c r="G18" s="13" t="n"/>
      <c r="H18" s="13" t="n"/>
      <c r="I18" s="13" t="n"/>
      <c r="J18" s="13" t="n"/>
    </row>
    <row r="19" ht="22" customHeight="1">
      <c r="B19" s="16">
        <f>IF(C19="","INC-"&amp;TEXT(COUNTA($C$5:C19),"000"))</f>
        <v/>
      </c>
      <c r="C19" s="28" t="n"/>
      <c r="D19" s="11" t="n"/>
      <c r="E19" s="11" t="n"/>
      <c r="F19" s="11" t="n"/>
      <c r="G19" s="11" t="n"/>
      <c r="H19" s="11" t="n"/>
      <c r="I19" s="11" t="n"/>
      <c r="J19" s="11" t="n"/>
    </row>
    <row r="20" ht="22" customHeight="1">
      <c r="B20" s="15">
        <f>IF(C20="","INC-"&amp;TEXT(COUNTA($C$5:C20),"000"))</f>
        <v/>
      </c>
      <c r="C20" s="29" t="n"/>
      <c r="D20" s="13" t="n"/>
      <c r="E20" s="13" t="n"/>
      <c r="F20" s="13" t="n"/>
      <c r="G20" s="13" t="n"/>
      <c r="H20" s="13" t="n"/>
      <c r="I20" s="13" t="n"/>
      <c r="J20" s="13" t="n"/>
    </row>
    <row r="21" ht="22" customHeight="1">
      <c r="B21" s="16">
        <f>IF(C21="","INC-"&amp;TEXT(COUNTA($C$5:C21),"000"))</f>
        <v/>
      </c>
      <c r="C21" s="28" t="n"/>
      <c r="D21" s="11" t="n"/>
      <c r="E21" s="11" t="n"/>
      <c r="F21" s="11" t="n"/>
      <c r="G21" s="11" t="n"/>
      <c r="H21" s="11" t="n"/>
      <c r="I21" s="11" t="n"/>
      <c r="J21" s="11" t="n"/>
    </row>
    <row r="22" ht="22" customHeight="1">
      <c r="B22" s="15">
        <f>IF(C22="","INC-"&amp;TEXT(COUNTA($C$5:C22),"000"))</f>
        <v/>
      </c>
      <c r="C22" s="29" t="n"/>
      <c r="D22" s="13" t="n"/>
      <c r="E22" s="13" t="n"/>
      <c r="F22" s="13" t="n"/>
      <c r="G22" s="13" t="n"/>
      <c r="H22" s="13" t="n"/>
      <c r="I22" s="13" t="n"/>
      <c r="J22" s="13" t="n"/>
    </row>
    <row r="23" ht="22" customHeight="1">
      <c r="B23" s="16">
        <f>IF(C23="","INC-"&amp;TEXT(COUNTA($C$5:C23),"000"))</f>
        <v/>
      </c>
      <c r="C23" s="28" t="n"/>
      <c r="D23" s="11" t="n"/>
      <c r="E23" s="11" t="n"/>
      <c r="F23" s="11" t="n"/>
      <c r="G23" s="11" t="n"/>
      <c r="H23" s="11" t="n"/>
      <c r="I23" s="11" t="n"/>
      <c r="J23" s="11" t="n"/>
    </row>
    <row r="24" ht="22" customHeight="1">
      <c r="B24" s="15">
        <f>IF(C24="","INC-"&amp;TEXT(COUNTA($C$5:C24),"000"))</f>
        <v/>
      </c>
      <c r="C24" s="29" t="n"/>
      <c r="D24" s="13" t="n"/>
      <c r="E24" s="13" t="n"/>
      <c r="F24" s="13" t="n"/>
      <c r="G24" s="13" t="n"/>
      <c r="H24" s="13" t="n"/>
      <c r="I24" s="13" t="n"/>
      <c r="J24" s="13" t="n"/>
    </row>
    <row r="25" ht="22" customHeight="1">
      <c r="B25" s="16">
        <f>IF(C25="","INC-"&amp;TEXT(COUNTA($C$5:C25),"000"))</f>
        <v/>
      </c>
      <c r="C25" s="28" t="n"/>
      <c r="D25" s="11" t="n"/>
      <c r="E25" s="11" t="n"/>
      <c r="F25" s="11" t="n"/>
      <c r="G25" s="11" t="n"/>
      <c r="H25" s="11" t="n"/>
      <c r="I25" s="11" t="n"/>
      <c r="J25" s="11" t="n"/>
    </row>
    <row r="26" ht="22" customHeight="1">
      <c r="B26" s="15">
        <f>IF(C26="","INC-"&amp;TEXT(COUNTA($C$5:C26),"000"))</f>
        <v/>
      </c>
      <c r="C26" s="29" t="n"/>
      <c r="D26" s="13" t="n"/>
      <c r="E26" s="13" t="n"/>
      <c r="F26" s="13" t="n"/>
      <c r="G26" s="13" t="n"/>
      <c r="H26" s="13" t="n"/>
      <c r="I26" s="13" t="n"/>
      <c r="J26" s="13" t="n"/>
    </row>
    <row r="27" ht="22" customHeight="1">
      <c r="B27" s="16">
        <f>IF(C27="","INC-"&amp;TEXT(COUNTA($C$5:C27),"000"))</f>
        <v/>
      </c>
      <c r="C27" s="28" t="n"/>
      <c r="D27" s="11" t="n"/>
      <c r="E27" s="11" t="n"/>
      <c r="F27" s="11" t="n"/>
      <c r="G27" s="11" t="n"/>
      <c r="H27" s="11" t="n"/>
      <c r="I27" s="11" t="n"/>
      <c r="J27" s="11" t="n"/>
    </row>
    <row r="28" ht="22" customHeight="1">
      <c r="B28" s="15">
        <f>IF(C28="","INC-"&amp;TEXT(COUNTA($C$5:C28),"000"))</f>
        <v/>
      </c>
      <c r="C28" s="29" t="n"/>
      <c r="D28" s="13" t="n"/>
      <c r="E28" s="13" t="n"/>
      <c r="F28" s="13" t="n"/>
      <c r="G28" s="13" t="n"/>
      <c r="H28" s="13" t="n"/>
      <c r="I28" s="13" t="n"/>
      <c r="J28" s="13" t="n"/>
    </row>
    <row r="29" ht="22" customHeight="1">
      <c r="B29" s="16">
        <f>IF(C29="","INC-"&amp;TEXT(COUNTA($C$5:C29),"000"))</f>
        <v/>
      </c>
      <c r="C29" s="28" t="n"/>
      <c r="D29" s="11" t="n"/>
      <c r="E29" s="11" t="n"/>
      <c r="F29" s="11" t="n"/>
      <c r="G29" s="11" t="n"/>
      <c r="H29" s="11" t="n"/>
      <c r="I29" s="11" t="n"/>
      <c r="J29" s="11" t="n"/>
    </row>
    <row r="30" ht="22" customHeight="1">
      <c r="B30" s="15">
        <f>IF(C30="","INC-"&amp;TEXT(COUNTA($C$5:C30),"000"))</f>
        <v/>
      </c>
      <c r="C30" s="29" t="n"/>
      <c r="D30" s="13" t="n"/>
      <c r="E30" s="13" t="n"/>
      <c r="F30" s="13" t="n"/>
      <c r="G30" s="13" t="n"/>
      <c r="H30" s="13" t="n"/>
      <c r="I30" s="13" t="n"/>
      <c r="J30" s="13" t="n"/>
    </row>
    <row r="31" ht="22" customHeight="1">
      <c r="B31" s="16">
        <f>IF(C31="","INC-"&amp;TEXT(COUNTA($C$5:C31),"000"))</f>
        <v/>
      </c>
      <c r="C31" s="28" t="n"/>
      <c r="D31" s="11" t="n"/>
      <c r="E31" s="11" t="n"/>
      <c r="F31" s="11" t="n"/>
      <c r="G31" s="11" t="n"/>
      <c r="H31" s="11" t="n"/>
      <c r="I31" s="11" t="n"/>
      <c r="J31" s="11" t="n"/>
    </row>
    <row r="32" ht="22" customHeight="1">
      <c r="B32" s="15">
        <f>IF(C32="","INC-"&amp;TEXT(COUNTA($C$5:C32),"000"))</f>
        <v/>
      </c>
      <c r="C32" s="29" t="n"/>
      <c r="D32" s="13" t="n"/>
      <c r="E32" s="13" t="n"/>
      <c r="F32" s="13" t="n"/>
      <c r="G32" s="13" t="n"/>
      <c r="H32" s="13" t="n"/>
      <c r="I32" s="13" t="n"/>
      <c r="J32" s="13" t="n"/>
    </row>
    <row r="33" ht="22" customHeight="1">
      <c r="B33" s="16">
        <f>IF(C33="","INC-"&amp;TEXT(COUNTA($C$5:C33),"000"))</f>
        <v/>
      </c>
      <c r="C33" s="28" t="n"/>
      <c r="D33" s="11" t="n"/>
      <c r="E33" s="11" t="n"/>
      <c r="F33" s="11" t="n"/>
      <c r="G33" s="11" t="n"/>
      <c r="H33" s="11" t="n"/>
      <c r="I33" s="11" t="n"/>
      <c r="J33" s="11" t="n"/>
    </row>
    <row r="34" ht="22" customHeight="1">
      <c r="B34" s="15">
        <f>IF(C34="","INC-"&amp;TEXT(COUNTA($C$5:C34),"000"))</f>
        <v/>
      </c>
      <c r="C34" s="29" t="n"/>
      <c r="D34" s="13" t="n"/>
      <c r="E34" s="13" t="n"/>
      <c r="F34" s="13" t="n"/>
      <c r="G34" s="13" t="n"/>
      <c r="H34" s="13" t="n"/>
      <c r="I34" s="13" t="n"/>
      <c r="J34" s="13" t="n"/>
    </row>
    <row r="35" ht="22" customHeight="1">
      <c r="B35" s="16">
        <f>IF(C35="","INC-"&amp;TEXT(COUNTA($C$5:C35),"000"))</f>
        <v/>
      </c>
      <c r="C35" s="28" t="n"/>
      <c r="D35" s="11" t="n"/>
      <c r="E35" s="11" t="n"/>
      <c r="F35" s="11" t="n"/>
      <c r="G35" s="11" t="n"/>
      <c r="H35" s="11" t="n"/>
      <c r="I35" s="11" t="n"/>
      <c r="J35" s="11" t="n"/>
    </row>
    <row r="36" ht="22" customHeight="1">
      <c r="B36" s="15">
        <f>IF(C36="","INC-"&amp;TEXT(COUNTA($C$5:C36),"000"))</f>
        <v/>
      </c>
      <c r="C36" s="29" t="n"/>
      <c r="D36" s="13" t="n"/>
      <c r="E36" s="13" t="n"/>
      <c r="F36" s="13" t="n"/>
      <c r="G36" s="13" t="n"/>
      <c r="H36" s="13" t="n"/>
      <c r="I36" s="13" t="n"/>
      <c r="J36" s="13" t="n"/>
    </row>
    <row r="37" ht="22" customHeight="1">
      <c r="B37" s="16">
        <f>IF(C37="","INC-"&amp;TEXT(COUNTA($C$5:C37),"000"))</f>
        <v/>
      </c>
      <c r="C37" s="28" t="n"/>
      <c r="D37" s="11" t="n"/>
      <c r="E37" s="11" t="n"/>
      <c r="F37" s="11" t="n"/>
      <c r="G37" s="11" t="n"/>
      <c r="H37" s="11" t="n"/>
      <c r="I37" s="11" t="n"/>
      <c r="J37" s="11" t="n"/>
    </row>
    <row r="38" ht="22" customHeight="1">
      <c r="B38" s="15">
        <f>IF(C38="","INC-"&amp;TEXT(COUNTA($C$5:C38),"000"))</f>
        <v/>
      </c>
      <c r="C38" s="29" t="n"/>
      <c r="D38" s="13" t="n"/>
      <c r="E38" s="13" t="n"/>
      <c r="F38" s="13" t="n"/>
      <c r="G38" s="13" t="n"/>
      <c r="H38" s="13" t="n"/>
      <c r="I38" s="13" t="n"/>
      <c r="J38" s="13" t="n"/>
    </row>
    <row r="39" ht="22" customHeight="1">
      <c r="B39" s="16">
        <f>IF(C39="","INC-"&amp;TEXT(COUNTA($C$5:C39),"000"))</f>
        <v/>
      </c>
      <c r="C39" s="28" t="n"/>
      <c r="D39" s="11" t="n"/>
      <c r="E39" s="11" t="n"/>
      <c r="F39" s="11" t="n"/>
      <c r="G39" s="11" t="n"/>
      <c r="H39" s="11" t="n"/>
      <c r="I39" s="11" t="n"/>
      <c r="J39" s="11" t="n"/>
    </row>
    <row r="40" ht="22" customHeight="1">
      <c r="B40" s="15">
        <f>IF(C40="","INC-"&amp;TEXT(COUNTA($C$5:C40),"000"))</f>
        <v/>
      </c>
      <c r="C40" s="29" t="n"/>
      <c r="D40" s="13" t="n"/>
      <c r="E40" s="13" t="n"/>
      <c r="F40" s="13" t="n"/>
      <c r="G40" s="13" t="n"/>
      <c r="H40" s="13" t="n"/>
      <c r="I40" s="13" t="n"/>
      <c r="J40" s="13" t="n"/>
    </row>
    <row r="41" ht="22" customHeight="1">
      <c r="B41" s="16">
        <f>IF(C41="","INC-"&amp;TEXT(COUNTA($C$5:C41),"000"))</f>
        <v/>
      </c>
      <c r="C41" s="28" t="n"/>
      <c r="D41" s="11" t="n"/>
      <c r="E41" s="11" t="n"/>
      <c r="F41" s="11" t="n"/>
      <c r="G41" s="11" t="n"/>
      <c r="H41" s="11" t="n"/>
      <c r="I41" s="11" t="n"/>
      <c r="J41" s="11" t="n"/>
    </row>
    <row r="42" ht="22" customHeight="1">
      <c r="B42" s="15">
        <f>IF(C42="","INC-"&amp;TEXT(COUNTA($C$5:C42),"000"))</f>
        <v/>
      </c>
      <c r="C42" s="29" t="n"/>
      <c r="D42" s="13" t="n"/>
      <c r="E42" s="13" t="n"/>
      <c r="F42" s="13" t="n"/>
      <c r="G42" s="13" t="n"/>
      <c r="H42" s="13" t="n"/>
      <c r="I42" s="13" t="n"/>
      <c r="J42" s="13" t="n"/>
    </row>
    <row r="43" ht="22" customHeight="1">
      <c r="B43" s="16">
        <f>IF(C43="","INC-"&amp;TEXT(COUNTA($C$5:C43),"000"))</f>
        <v/>
      </c>
      <c r="C43" s="28" t="n"/>
      <c r="D43" s="11" t="n"/>
      <c r="E43" s="11" t="n"/>
      <c r="F43" s="11" t="n"/>
      <c r="G43" s="11" t="n"/>
      <c r="H43" s="11" t="n"/>
      <c r="I43" s="11" t="n"/>
      <c r="J43" s="11" t="n"/>
    </row>
    <row r="44" ht="22" customHeight="1">
      <c r="B44" s="15">
        <f>IF(C44="","INC-"&amp;TEXT(COUNTA($C$5:C44),"000"))</f>
        <v/>
      </c>
      <c r="C44" s="29" t="n"/>
      <c r="D44" s="13" t="n"/>
      <c r="E44" s="13" t="n"/>
      <c r="F44" s="13" t="n"/>
      <c r="G44" s="13" t="n"/>
      <c r="H44" s="13" t="n"/>
      <c r="I44" s="13" t="n"/>
      <c r="J44" s="13" t="n"/>
    </row>
    <row r="45" ht="22" customHeight="1">
      <c r="B45" s="16">
        <f>IF(C45="","INC-"&amp;TEXT(COUNTA($C$5:C45),"000"))</f>
        <v/>
      </c>
      <c r="C45" s="28" t="n"/>
      <c r="D45" s="11" t="n"/>
      <c r="E45" s="11" t="n"/>
      <c r="F45" s="11" t="n"/>
      <c r="G45" s="11" t="n"/>
      <c r="H45" s="11" t="n"/>
      <c r="I45" s="11" t="n"/>
      <c r="J45" s="11" t="n"/>
    </row>
    <row r="46" ht="22" customHeight="1">
      <c r="B46" s="15">
        <f>IF(C46="","INC-"&amp;TEXT(COUNTA($C$5:C46),"000"))</f>
        <v/>
      </c>
      <c r="C46" s="29" t="n"/>
      <c r="D46" s="13" t="n"/>
      <c r="E46" s="13" t="n"/>
      <c r="F46" s="13" t="n"/>
      <c r="G46" s="13" t="n"/>
      <c r="H46" s="13" t="n"/>
      <c r="I46" s="13" t="n"/>
      <c r="J46" s="13" t="n"/>
    </row>
    <row r="47" ht="22" customHeight="1">
      <c r="B47" s="16">
        <f>IF(C47="","INC-"&amp;TEXT(COUNTA($C$5:C47),"000"))</f>
        <v/>
      </c>
      <c r="C47" s="28" t="n"/>
      <c r="D47" s="11" t="n"/>
      <c r="E47" s="11" t="n"/>
      <c r="F47" s="11" t="n"/>
      <c r="G47" s="11" t="n"/>
      <c r="H47" s="11" t="n"/>
      <c r="I47" s="11" t="n"/>
      <c r="J47" s="11" t="n"/>
    </row>
    <row r="48" ht="22" customHeight="1">
      <c r="B48" s="15">
        <f>IF(C48="","INC-"&amp;TEXT(COUNTA($C$5:C48),"000"))</f>
        <v/>
      </c>
      <c r="C48" s="29" t="n"/>
      <c r="D48" s="13" t="n"/>
      <c r="E48" s="13" t="n"/>
      <c r="F48" s="13" t="n"/>
      <c r="G48" s="13" t="n"/>
      <c r="H48" s="13" t="n"/>
      <c r="I48" s="13" t="n"/>
      <c r="J48" s="13" t="n"/>
    </row>
    <row r="49" ht="22" customHeight="1">
      <c r="B49" s="16">
        <f>IF(C49="","INC-"&amp;TEXT(COUNTA($C$5:C49),"000"))</f>
        <v/>
      </c>
      <c r="C49" s="28" t="n"/>
      <c r="D49" s="11" t="n"/>
      <c r="E49" s="11" t="n"/>
      <c r="F49" s="11" t="n"/>
      <c r="G49" s="11" t="n"/>
      <c r="H49" s="11" t="n"/>
      <c r="I49" s="11" t="n"/>
      <c r="J49" s="11" t="n"/>
    </row>
    <row r="50" ht="22" customHeight="1">
      <c r="B50" s="15">
        <f>IF(C50="","INC-"&amp;TEXT(COUNTA($C$5:C50),"000"))</f>
        <v/>
      </c>
      <c r="C50" s="29" t="n"/>
      <c r="D50" s="13" t="n"/>
      <c r="E50" s="13" t="n"/>
      <c r="F50" s="13" t="n"/>
      <c r="G50" s="13" t="n"/>
      <c r="H50" s="13" t="n"/>
      <c r="I50" s="13" t="n"/>
      <c r="J50" s="13" t="n"/>
    </row>
    <row r="51" ht="22" customHeight="1">
      <c r="B51" s="16">
        <f>IF(C51="","INC-"&amp;TEXT(COUNTA($C$5:C51),"000"))</f>
        <v/>
      </c>
      <c r="C51" s="28" t="n"/>
      <c r="D51" s="11" t="n"/>
      <c r="E51" s="11" t="n"/>
      <c r="F51" s="11" t="n"/>
      <c r="G51" s="11" t="n"/>
      <c r="H51" s="11" t="n"/>
      <c r="I51" s="11" t="n"/>
      <c r="J51" s="11" t="n"/>
    </row>
    <row r="52" ht="22" customHeight="1">
      <c r="B52" s="15">
        <f>IF(C52="","INC-"&amp;TEXT(COUNTA($C$5:C52),"000"))</f>
        <v/>
      </c>
      <c r="C52" s="29" t="n"/>
      <c r="D52" s="13" t="n"/>
      <c r="E52" s="13" t="n"/>
      <c r="F52" s="13" t="n"/>
      <c r="G52" s="13" t="n"/>
      <c r="H52" s="13" t="n"/>
      <c r="I52" s="13" t="n"/>
      <c r="J52" s="13" t="n"/>
    </row>
    <row r="53" ht="22" customHeight="1">
      <c r="B53" s="16">
        <f>IF(C53="","INC-"&amp;TEXT(COUNTA($C$5:C53),"000"))</f>
        <v/>
      </c>
      <c r="C53" s="28" t="n"/>
      <c r="D53" s="11" t="n"/>
      <c r="E53" s="11" t="n"/>
      <c r="F53" s="11" t="n"/>
      <c r="G53" s="11" t="n"/>
      <c r="H53" s="11" t="n"/>
      <c r="I53" s="11" t="n"/>
      <c r="J53" s="11" t="n"/>
    </row>
    <row r="54" ht="22" customHeight="1">
      <c r="B54" s="15">
        <f>IF(C54="","INC-"&amp;TEXT(COUNTA($C$5:C54),"000"))</f>
        <v/>
      </c>
      <c r="C54" s="29" t="n"/>
      <c r="D54" s="13" t="n"/>
      <c r="E54" s="13" t="n"/>
      <c r="F54" s="13" t="n"/>
      <c r="G54" s="13" t="n"/>
      <c r="H54" s="13" t="n"/>
      <c r="I54" s="13" t="n"/>
      <c r="J54" s="13" t="n"/>
    </row>
    <row r="55" ht="22" customHeight="1">
      <c r="B55" s="16">
        <f>IF(C55="","INC-"&amp;TEXT(COUNTA($C$5:C55),"000"))</f>
        <v/>
      </c>
      <c r="C55" s="28" t="n"/>
      <c r="D55" s="11" t="n"/>
      <c r="E55" s="11" t="n"/>
      <c r="F55" s="11" t="n"/>
      <c r="G55" s="11" t="n"/>
      <c r="H55" s="11" t="n"/>
      <c r="I55" s="11" t="n"/>
      <c r="J55" s="11" t="n"/>
    </row>
    <row r="56" ht="22" customHeight="1">
      <c r="B56" s="15">
        <f>IF(C56="","INC-"&amp;TEXT(COUNTA($C$5:C56),"000"))</f>
        <v/>
      </c>
      <c r="C56" s="29" t="n"/>
      <c r="D56" s="13" t="n"/>
      <c r="E56" s="13" t="n"/>
      <c r="F56" s="13" t="n"/>
      <c r="G56" s="13" t="n"/>
      <c r="H56" s="13" t="n"/>
      <c r="I56" s="13" t="n"/>
      <c r="J56" s="13" t="n"/>
    </row>
    <row r="57" ht="22" customHeight="1">
      <c r="B57" s="16">
        <f>IF(C57="","INC-"&amp;TEXT(COUNTA($C$5:C57),"000"))</f>
        <v/>
      </c>
      <c r="C57" s="28" t="n"/>
      <c r="D57" s="11" t="n"/>
      <c r="E57" s="11" t="n"/>
      <c r="F57" s="11" t="n"/>
      <c r="G57" s="11" t="n"/>
      <c r="H57" s="11" t="n"/>
      <c r="I57" s="11" t="n"/>
      <c r="J57" s="11" t="n"/>
    </row>
    <row r="58" ht="22" customHeight="1">
      <c r="B58" s="15">
        <f>IF(C58="","INC-"&amp;TEXT(COUNTA($C$5:C58),"000"))</f>
        <v/>
      </c>
      <c r="C58" s="29" t="n"/>
      <c r="D58" s="13" t="n"/>
      <c r="E58" s="13" t="n"/>
      <c r="F58" s="13" t="n"/>
      <c r="G58" s="13" t="n"/>
      <c r="H58" s="13" t="n"/>
      <c r="I58" s="13" t="n"/>
      <c r="J58" s="13" t="n"/>
    </row>
    <row r="59" ht="22" customHeight="1">
      <c r="B59" s="16">
        <f>IF(C59="","INC-"&amp;TEXT(COUNTA($C$5:C59),"000"))</f>
        <v/>
      </c>
      <c r="C59" s="28" t="n"/>
      <c r="D59" s="11" t="n"/>
      <c r="E59" s="11" t="n"/>
      <c r="F59" s="11" t="n"/>
      <c r="G59" s="11" t="n"/>
      <c r="H59" s="11" t="n"/>
      <c r="I59" s="11" t="n"/>
      <c r="J59" s="11" t="n"/>
    </row>
    <row r="60" ht="22" customHeight="1">
      <c r="B60" s="15">
        <f>IF(C60="","INC-"&amp;TEXT(COUNTA($C$5:C60),"000"))</f>
        <v/>
      </c>
      <c r="C60" s="29" t="n"/>
      <c r="D60" s="13" t="n"/>
      <c r="E60" s="13" t="n"/>
      <c r="F60" s="13" t="n"/>
      <c r="G60" s="13" t="n"/>
      <c r="H60" s="13" t="n"/>
      <c r="I60" s="13" t="n"/>
      <c r="J60" s="13" t="n"/>
    </row>
    <row r="61" ht="22" customHeight="1">
      <c r="B61" s="16">
        <f>IF(C61="","INC-"&amp;TEXT(COUNTA($C$5:C61),"000"))</f>
        <v/>
      </c>
      <c r="C61" s="28" t="n"/>
      <c r="D61" s="11" t="n"/>
      <c r="E61" s="11" t="n"/>
      <c r="F61" s="11" t="n"/>
      <c r="G61" s="11" t="n"/>
      <c r="H61" s="11" t="n"/>
      <c r="I61" s="11" t="n"/>
      <c r="J61" s="11" t="n"/>
    </row>
    <row r="62" ht="22" customHeight="1">
      <c r="B62" s="15">
        <f>IF(C62="","INC-"&amp;TEXT(COUNTA($C$5:C62),"000"))</f>
        <v/>
      </c>
      <c r="C62" s="29" t="n"/>
      <c r="D62" s="13" t="n"/>
      <c r="E62" s="13" t="n"/>
      <c r="F62" s="13" t="n"/>
      <c r="G62" s="13" t="n"/>
      <c r="H62" s="13" t="n"/>
      <c r="I62" s="13" t="n"/>
      <c r="J62" s="13" t="n"/>
    </row>
    <row r="63" ht="22" customHeight="1">
      <c r="B63" s="16">
        <f>IF(C63="","INC-"&amp;TEXT(COUNTA($C$5:C63),"000"))</f>
        <v/>
      </c>
      <c r="C63" s="28" t="n"/>
      <c r="D63" s="11" t="n"/>
      <c r="E63" s="11" t="n"/>
      <c r="F63" s="11" t="n"/>
      <c r="G63" s="11" t="n"/>
      <c r="H63" s="11" t="n"/>
      <c r="I63" s="11" t="n"/>
      <c r="J63" s="11" t="n"/>
    </row>
    <row r="64" ht="22" customHeight="1">
      <c r="B64" s="15">
        <f>IF(C64="","INC-"&amp;TEXT(COUNTA($C$5:C64),"000"))</f>
        <v/>
      </c>
      <c r="C64" s="29" t="n"/>
      <c r="D64" s="13" t="n"/>
      <c r="E64" s="13" t="n"/>
      <c r="F64" s="13" t="n"/>
      <c r="G64" s="13" t="n"/>
      <c r="H64" s="13" t="n"/>
      <c r="I64" s="13" t="n"/>
      <c r="J64" s="13" t="n"/>
    </row>
    <row r="65" ht="22" customHeight="1">
      <c r="B65" s="16">
        <f>IF(C65="","INC-"&amp;TEXT(COUNTA($C$5:C65),"000"))</f>
        <v/>
      </c>
      <c r="C65" s="28" t="n"/>
      <c r="D65" s="11" t="n"/>
      <c r="E65" s="11" t="n"/>
      <c r="F65" s="11" t="n"/>
      <c r="G65" s="11" t="n"/>
      <c r="H65" s="11" t="n"/>
      <c r="I65" s="11" t="n"/>
      <c r="J65" s="11" t="n"/>
    </row>
    <row r="66" ht="22" customHeight="1">
      <c r="B66" s="15">
        <f>IF(C66="","INC-"&amp;TEXT(COUNTA($C$5:C66),"000"))</f>
        <v/>
      </c>
      <c r="C66" s="29" t="n"/>
      <c r="D66" s="13" t="n"/>
      <c r="E66" s="13" t="n"/>
      <c r="F66" s="13" t="n"/>
      <c r="G66" s="13" t="n"/>
      <c r="H66" s="13" t="n"/>
      <c r="I66" s="13" t="n"/>
      <c r="J66" s="13" t="n"/>
    </row>
    <row r="67" ht="22" customHeight="1">
      <c r="B67" s="16">
        <f>IF(C67="","INC-"&amp;TEXT(COUNTA($C$5:C67),"000"))</f>
        <v/>
      </c>
      <c r="C67" s="28" t="n"/>
      <c r="D67" s="11" t="n"/>
      <c r="E67" s="11" t="n"/>
      <c r="F67" s="11" t="n"/>
      <c r="G67" s="11" t="n"/>
      <c r="H67" s="11" t="n"/>
      <c r="I67" s="11" t="n"/>
      <c r="J67" s="11" t="n"/>
    </row>
    <row r="68" ht="22" customHeight="1">
      <c r="B68" s="15">
        <f>IF(C68="","INC-"&amp;TEXT(COUNTA($C$5:C68),"000"))</f>
        <v/>
      </c>
      <c r="C68" s="29" t="n"/>
      <c r="D68" s="13" t="n"/>
      <c r="E68" s="13" t="n"/>
      <c r="F68" s="13" t="n"/>
      <c r="G68" s="13" t="n"/>
      <c r="H68" s="13" t="n"/>
      <c r="I68" s="13" t="n"/>
      <c r="J68" s="13" t="n"/>
    </row>
    <row r="69" ht="22" customHeight="1">
      <c r="B69" s="16">
        <f>IF(C69="","INC-"&amp;TEXT(COUNTA($C$5:C69),"000"))</f>
        <v/>
      </c>
      <c r="C69" s="28" t="n"/>
      <c r="D69" s="11" t="n"/>
      <c r="E69" s="11" t="n"/>
      <c r="F69" s="11" t="n"/>
      <c r="G69" s="11" t="n"/>
      <c r="H69" s="11" t="n"/>
      <c r="I69" s="11" t="n"/>
      <c r="J69" s="11" t="n"/>
    </row>
    <row r="70" ht="22" customHeight="1">
      <c r="B70" s="15">
        <f>IF(C70="","INC-"&amp;TEXT(COUNTA($C$5:C70),"000"))</f>
        <v/>
      </c>
      <c r="C70" s="29" t="n"/>
      <c r="D70" s="13" t="n"/>
      <c r="E70" s="13" t="n"/>
      <c r="F70" s="13" t="n"/>
      <c r="G70" s="13" t="n"/>
      <c r="H70" s="13" t="n"/>
      <c r="I70" s="13" t="n"/>
      <c r="J70" s="13" t="n"/>
    </row>
    <row r="71" ht="22" customHeight="1">
      <c r="B71" s="16">
        <f>IF(C71="","INC-"&amp;TEXT(COUNTA($C$5:C71),"000"))</f>
        <v/>
      </c>
      <c r="C71" s="28" t="n"/>
      <c r="D71" s="11" t="n"/>
      <c r="E71" s="11" t="n"/>
      <c r="F71" s="11" t="n"/>
      <c r="G71" s="11" t="n"/>
      <c r="H71" s="11" t="n"/>
      <c r="I71" s="11" t="n"/>
      <c r="J71" s="11" t="n"/>
    </row>
    <row r="72" ht="22" customHeight="1">
      <c r="B72" s="15">
        <f>IF(C72="","INC-"&amp;TEXT(COUNTA($C$5:C72),"000"))</f>
        <v/>
      </c>
      <c r="C72" s="29" t="n"/>
      <c r="D72" s="13" t="n"/>
      <c r="E72" s="13" t="n"/>
      <c r="F72" s="13" t="n"/>
      <c r="G72" s="13" t="n"/>
      <c r="H72" s="13" t="n"/>
      <c r="I72" s="13" t="n"/>
      <c r="J72" s="13" t="n"/>
    </row>
    <row r="73" ht="22" customHeight="1">
      <c r="B73" s="16">
        <f>IF(C73="","INC-"&amp;TEXT(COUNTA($C$5:C73),"000"))</f>
        <v/>
      </c>
      <c r="C73" s="28" t="n"/>
      <c r="D73" s="11" t="n"/>
      <c r="E73" s="11" t="n"/>
      <c r="F73" s="11" t="n"/>
      <c r="G73" s="11" t="n"/>
      <c r="H73" s="11" t="n"/>
      <c r="I73" s="11" t="n"/>
      <c r="J73" s="11" t="n"/>
    </row>
    <row r="74" ht="22" customHeight="1">
      <c r="B74" s="15">
        <f>IF(C74="","INC-"&amp;TEXT(COUNTA($C$5:C74),"000"))</f>
        <v/>
      </c>
      <c r="C74" s="29" t="n"/>
      <c r="D74" s="13" t="n"/>
      <c r="E74" s="13" t="n"/>
      <c r="F74" s="13" t="n"/>
      <c r="G74" s="13" t="n"/>
      <c r="H74" s="13" t="n"/>
      <c r="I74" s="13" t="n"/>
      <c r="J74" s="13" t="n"/>
    </row>
    <row r="75" ht="22" customHeight="1">
      <c r="B75" s="16">
        <f>IF(C75="","INC-"&amp;TEXT(COUNTA($C$5:C75),"000"))</f>
        <v/>
      </c>
      <c r="C75" s="28" t="n"/>
      <c r="D75" s="11" t="n"/>
      <c r="E75" s="11" t="n"/>
      <c r="F75" s="11" t="n"/>
      <c r="G75" s="11" t="n"/>
      <c r="H75" s="11" t="n"/>
      <c r="I75" s="11" t="n"/>
      <c r="J75" s="11" t="n"/>
    </row>
    <row r="76" ht="22" customHeight="1">
      <c r="B76" s="15">
        <f>IF(C76="","INC-"&amp;TEXT(COUNTA($C$5:C76),"000"))</f>
        <v/>
      </c>
      <c r="C76" s="29" t="n"/>
      <c r="D76" s="13" t="n"/>
      <c r="E76" s="13" t="n"/>
      <c r="F76" s="13" t="n"/>
      <c r="G76" s="13" t="n"/>
      <c r="H76" s="13" t="n"/>
      <c r="I76" s="13" t="n"/>
      <c r="J76" s="13" t="n"/>
    </row>
    <row r="77" ht="22" customHeight="1">
      <c r="B77" s="16">
        <f>IF(C77="","INC-"&amp;TEXT(COUNTA($C$5:C77),"000"))</f>
        <v/>
      </c>
      <c r="C77" s="28" t="n"/>
      <c r="D77" s="11" t="n"/>
      <c r="E77" s="11" t="n"/>
      <c r="F77" s="11" t="n"/>
      <c r="G77" s="11" t="n"/>
      <c r="H77" s="11" t="n"/>
      <c r="I77" s="11" t="n"/>
      <c r="J77" s="11" t="n"/>
    </row>
    <row r="78" ht="22" customHeight="1">
      <c r="B78" s="15">
        <f>IF(C78="","INC-"&amp;TEXT(COUNTA($C$5:C78),"000"))</f>
        <v/>
      </c>
      <c r="C78" s="29" t="n"/>
      <c r="D78" s="13" t="n"/>
      <c r="E78" s="13" t="n"/>
      <c r="F78" s="13" t="n"/>
      <c r="G78" s="13" t="n"/>
      <c r="H78" s="13" t="n"/>
      <c r="I78" s="13" t="n"/>
      <c r="J78" s="13" t="n"/>
    </row>
    <row r="79" ht="22" customHeight="1">
      <c r="B79" s="16">
        <f>IF(C79="","INC-"&amp;TEXT(COUNTA($C$5:C79),"000"))</f>
        <v/>
      </c>
      <c r="C79" s="28" t="n"/>
      <c r="D79" s="11" t="n"/>
      <c r="E79" s="11" t="n"/>
      <c r="F79" s="11" t="n"/>
      <c r="G79" s="11" t="n"/>
      <c r="H79" s="11" t="n"/>
      <c r="I79" s="11" t="n"/>
      <c r="J79" s="11" t="n"/>
    </row>
    <row r="80" ht="22" customHeight="1">
      <c r="B80" s="15">
        <f>IF(C80="","INC-"&amp;TEXT(COUNTA($C$5:C80),"000"))</f>
        <v/>
      </c>
      <c r="C80" s="29" t="n"/>
      <c r="D80" s="13" t="n"/>
      <c r="E80" s="13" t="n"/>
      <c r="F80" s="13" t="n"/>
      <c r="G80" s="13" t="n"/>
      <c r="H80" s="13" t="n"/>
      <c r="I80" s="13" t="n"/>
      <c r="J80" s="13" t="n"/>
    </row>
    <row r="81" ht="22" customHeight="1">
      <c r="B81" s="16">
        <f>IF(C81="","INC-"&amp;TEXT(COUNTA($C$5:C81),"000"))</f>
        <v/>
      </c>
      <c r="C81" s="28" t="n"/>
      <c r="D81" s="11" t="n"/>
      <c r="E81" s="11" t="n"/>
      <c r="F81" s="11" t="n"/>
      <c r="G81" s="11" t="n"/>
      <c r="H81" s="11" t="n"/>
      <c r="I81" s="11" t="n"/>
      <c r="J81" s="11" t="n"/>
    </row>
    <row r="82" ht="22" customHeight="1">
      <c r="B82" s="15">
        <f>IF(C82="","INC-"&amp;TEXT(COUNTA($C$5:C82),"000"))</f>
        <v/>
      </c>
      <c r="C82" s="29" t="n"/>
      <c r="D82" s="13" t="n"/>
      <c r="E82" s="13" t="n"/>
      <c r="F82" s="13" t="n"/>
      <c r="G82" s="13" t="n"/>
      <c r="H82" s="13" t="n"/>
      <c r="I82" s="13" t="n"/>
      <c r="J82" s="13" t="n"/>
    </row>
    <row r="83" ht="22" customHeight="1">
      <c r="B83" s="16">
        <f>IF(C83="","INC-"&amp;TEXT(COUNTA($C$5:C83),"000"))</f>
        <v/>
      </c>
      <c r="C83" s="28" t="n"/>
      <c r="D83" s="11" t="n"/>
      <c r="E83" s="11" t="n"/>
      <c r="F83" s="11" t="n"/>
      <c r="G83" s="11" t="n"/>
      <c r="H83" s="11" t="n"/>
      <c r="I83" s="11" t="n"/>
      <c r="J83" s="11" t="n"/>
    </row>
    <row r="84" ht="22" customHeight="1">
      <c r="B84" s="15">
        <f>IF(C84="","INC-"&amp;TEXT(COUNTA($C$5:C84),"000"))</f>
        <v/>
      </c>
      <c r="C84" s="29" t="n"/>
      <c r="D84" s="13" t="n"/>
      <c r="E84" s="13" t="n"/>
      <c r="F84" s="13" t="n"/>
      <c r="G84" s="13" t="n"/>
      <c r="H84" s="13" t="n"/>
      <c r="I84" s="13" t="n"/>
      <c r="J84" s="13" t="n"/>
    </row>
    <row r="85" ht="22" customHeight="1">
      <c r="B85" s="16">
        <f>IF(C85="","INC-"&amp;TEXT(COUNTA($C$5:C85),"000"))</f>
        <v/>
      </c>
      <c r="C85" s="28" t="n"/>
      <c r="D85" s="11" t="n"/>
      <c r="E85" s="11" t="n"/>
      <c r="F85" s="11" t="n"/>
      <c r="G85" s="11" t="n"/>
      <c r="H85" s="11" t="n"/>
      <c r="I85" s="11" t="n"/>
      <c r="J85" s="11" t="n"/>
    </row>
    <row r="86" ht="22" customHeight="1">
      <c r="B86" s="15">
        <f>IF(C86="","INC-"&amp;TEXT(COUNTA($C$5:C86),"000"))</f>
        <v/>
      </c>
      <c r="C86" s="29" t="n"/>
      <c r="D86" s="13" t="n"/>
      <c r="E86" s="13" t="n"/>
      <c r="F86" s="13" t="n"/>
      <c r="G86" s="13" t="n"/>
      <c r="H86" s="13" t="n"/>
      <c r="I86" s="13" t="n"/>
      <c r="J86" s="13" t="n"/>
    </row>
    <row r="87" ht="22" customHeight="1">
      <c r="B87" s="16">
        <f>IF(C87="","INC-"&amp;TEXT(COUNTA($C$5:C87),"000"))</f>
        <v/>
      </c>
      <c r="C87" s="28" t="n"/>
      <c r="D87" s="11" t="n"/>
      <c r="E87" s="11" t="n"/>
      <c r="F87" s="11" t="n"/>
      <c r="G87" s="11" t="n"/>
      <c r="H87" s="11" t="n"/>
      <c r="I87" s="11" t="n"/>
      <c r="J87" s="11" t="n"/>
    </row>
    <row r="88" ht="22" customHeight="1">
      <c r="B88" s="15">
        <f>IF(C88="","INC-"&amp;TEXT(COUNTA($C$5:C88),"000"))</f>
        <v/>
      </c>
      <c r="C88" s="29" t="n"/>
      <c r="D88" s="13" t="n"/>
      <c r="E88" s="13" t="n"/>
      <c r="F88" s="13" t="n"/>
      <c r="G88" s="13" t="n"/>
      <c r="H88" s="13" t="n"/>
      <c r="I88" s="13" t="n"/>
      <c r="J88" s="13" t="n"/>
    </row>
    <row r="89" ht="22" customHeight="1">
      <c r="B89" s="16">
        <f>IF(C89="","INC-"&amp;TEXT(COUNTA($C$5:C89),"000"))</f>
        <v/>
      </c>
      <c r="C89" s="28" t="n"/>
      <c r="D89" s="11" t="n"/>
      <c r="E89" s="11" t="n"/>
      <c r="F89" s="11" t="n"/>
      <c r="G89" s="11" t="n"/>
      <c r="H89" s="11" t="n"/>
      <c r="I89" s="11" t="n"/>
      <c r="J89" s="11" t="n"/>
    </row>
    <row r="90" ht="22" customHeight="1">
      <c r="B90" s="15">
        <f>IF(C90="","INC-"&amp;TEXT(COUNTA($C$5:C90),"000"))</f>
        <v/>
      </c>
      <c r="C90" s="29" t="n"/>
      <c r="D90" s="13" t="n"/>
      <c r="E90" s="13" t="n"/>
      <c r="F90" s="13" t="n"/>
      <c r="G90" s="13" t="n"/>
      <c r="H90" s="13" t="n"/>
      <c r="I90" s="13" t="n"/>
      <c r="J90" s="13" t="n"/>
    </row>
    <row r="91" ht="22" customHeight="1">
      <c r="B91" s="16">
        <f>IF(C91="","INC-"&amp;TEXT(COUNTA($C$5:C91),"000"))</f>
        <v/>
      </c>
      <c r="C91" s="28" t="n"/>
      <c r="D91" s="11" t="n"/>
      <c r="E91" s="11" t="n"/>
      <c r="F91" s="11" t="n"/>
      <c r="G91" s="11" t="n"/>
      <c r="H91" s="11" t="n"/>
      <c r="I91" s="11" t="n"/>
      <c r="J91" s="11" t="n"/>
    </row>
    <row r="92" ht="22" customHeight="1">
      <c r="B92" s="15">
        <f>IF(C92="","INC-"&amp;TEXT(COUNTA($C$5:C92),"000"))</f>
        <v/>
      </c>
      <c r="C92" s="29" t="n"/>
      <c r="D92" s="13" t="n"/>
      <c r="E92" s="13" t="n"/>
      <c r="F92" s="13" t="n"/>
      <c r="G92" s="13" t="n"/>
      <c r="H92" s="13" t="n"/>
      <c r="I92" s="13" t="n"/>
      <c r="J92" s="13" t="n"/>
    </row>
    <row r="93" ht="22" customHeight="1">
      <c r="B93" s="16">
        <f>IF(C93="","INC-"&amp;TEXT(COUNTA($C$5:C93),"000"))</f>
        <v/>
      </c>
      <c r="C93" s="28" t="n"/>
      <c r="D93" s="11" t="n"/>
      <c r="E93" s="11" t="n"/>
      <c r="F93" s="11" t="n"/>
      <c r="G93" s="11" t="n"/>
      <c r="H93" s="11" t="n"/>
      <c r="I93" s="11" t="n"/>
      <c r="J93" s="11" t="n"/>
    </row>
    <row r="94" ht="22" customHeight="1">
      <c r="B94" s="15">
        <f>IF(C94="","INC-"&amp;TEXT(COUNTA($C$5:C94),"000"))</f>
        <v/>
      </c>
      <c r="C94" s="29" t="n"/>
      <c r="D94" s="13" t="n"/>
      <c r="E94" s="13" t="n"/>
      <c r="F94" s="13" t="n"/>
      <c r="G94" s="13" t="n"/>
      <c r="H94" s="13" t="n"/>
      <c r="I94" s="13" t="n"/>
      <c r="J94" s="13" t="n"/>
    </row>
    <row r="95" ht="22" customHeight="1">
      <c r="B95" s="16">
        <f>IF(C95="","INC-"&amp;TEXT(COUNTA($C$5:C95),"000"))</f>
        <v/>
      </c>
      <c r="C95" s="28" t="n"/>
      <c r="D95" s="11" t="n"/>
      <c r="E95" s="11" t="n"/>
      <c r="F95" s="11" t="n"/>
      <c r="G95" s="11" t="n"/>
      <c r="H95" s="11" t="n"/>
      <c r="I95" s="11" t="n"/>
      <c r="J95" s="11" t="n"/>
    </row>
    <row r="96" ht="22" customHeight="1">
      <c r="B96" s="15">
        <f>IF(C96="","INC-"&amp;TEXT(COUNTA($C$5:C96),"000"))</f>
        <v/>
      </c>
      <c r="C96" s="29" t="n"/>
      <c r="D96" s="13" t="n"/>
      <c r="E96" s="13" t="n"/>
      <c r="F96" s="13" t="n"/>
      <c r="G96" s="13" t="n"/>
      <c r="H96" s="13" t="n"/>
      <c r="I96" s="13" t="n"/>
      <c r="J96" s="13" t="n"/>
    </row>
    <row r="97" ht="22" customHeight="1">
      <c r="B97" s="16">
        <f>IF(C97="","INC-"&amp;TEXT(COUNTA($C$5:C97),"000"))</f>
        <v/>
      </c>
      <c r="C97" s="28" t="n"/>
      <c r="D97" s="11" t="n"/>
      <c r="E97" s="11" t="n"/>
      <c r="F97" s="11" t="n"/>
      <c r="G97" s="11" t="n"/>
      <c r="H97" s="11" t="n"/>
      <c r="I97" s="11" t="n"/>
      <c r="J97" s="11" t="n"/>
    </row>
    <row r="98" ht="22" customHeight="1">
      <c r="B98" s="15">
        <f>IF(C98="","INC-"&amp;TEXT(COUNTA($C$5:C98),"000"))</f>
        <v/>
      </c>
      <c r="C98" s="29" t="n"/>
      <c r="D98" s="13" t="n"/>
      <c r="E98" s="13" t="n"/>
      <c r="F98" s="13" t="n"/>
      <c r="G98" s="13" t="n"/>
      <c r="H98" s="13" t="n"/>
      <c r="I98" s="13" t="n"/>
      <c r="J98" s="13" t="n"/>
    </row>
    <row r="99" ht="22" customHeight="1">
      <c r="B99" s="16">
        <f>IF(C99="","INC-"&amp;TEXT(COUNTA($C$5:C99),"000"))</f>
        <v/>
      </c>
      <c r="C99" s="28" t="n"/>
      <c r="D99" s="11" t="n"/>
      <c r="E99" s="11" t="n"/>
      <c r="F99" s="11" t="n"/>
      <c r="G99" s="11" t="n"/>
      <c r="H99" s="11" t="n"/>
      <c r="I99" s="11" t="n"/>
      <c r="J99" s="11" t="n"/>
    </row>
    <row r="100" ht="22" customHeight="1">
      <c r="B100" s="15">
        <f>IF(C100="","INC-"&amp;TEXT(COUNTA($C$5:C100),"000"))</f>
        <v/>
      </c>
      <c r="C100" s="29" t="n"/>
      <c r="D100" s="13" t="n"/>
      <c r="E100" s="13" t="n"/>
      <c r="F100" s="13" t="n"/>
      <c r="G100" s="13" t="n"/>
      <c r="H100" s="13" t="n"/>
      <c r="I100" s="13" t="n"/>
      <c r="J100" s="13" t="n"/>
    </row>
    <row r="101" ht="22" customHeight="1">
      <c r="B101" s="16">
        <f>IF(C101="","INC-"&amp;TEXT(COUNTA($C$5:C101),"000"))</f>
        <v/>
      </c>
      <c r="C101" s="28" t="n"/>
      <c r="D101" s="11" t="n"/>
      <c r="E101" s="11" t="n"/>
      <c r="F101" s="11" t="n"/>
      <c r="G101" s="11" t="n"/>
      <c r="H101" s="11" t="n"/>
      <c r="I101" s="11" t="n"/>
      <c r="J101" s="11" t="n"/>
    </row>
    <row r="102" ht="22" customHeight="1">
      <c r="B102" s="15">
        <f>IF(C102="","INC-"&amp;TEXT(COUNTA($C$5:C102),"000"))</f>
        <v/>
      </c>
      <c r="C102" s="29" t="n"/>
      <c r="D102" s="13" t="n"/>
      <c r="E102" s="13" t="n"/>
      <c r="F102" s="13" t="n"/>
      <c r="G102" s="13" t="n"/>
      <c r="H102" s="13" t="n"/>
      <c r="I102" s="13" t="n"/>
      <c r="J102" s="13" t="n"/>
    </row>
    <row r="103" ht="22" customHeight="1">
      <c r="B103" s="16">
        <f>IF(C103="","INC-"&amp;TEXT(COUNTA($C$5:C103),"000"))</f>
        <v/>
      </c>
      <c r="C103" s="28" t="n"/>
      <c r="D103" s="11" t="n"/>
      <c r="E103" s="11" t="n"/>
      <c r="F103" s="11" t="n"/>
      <c r="G103" s="11" t="n"/>
      <c r="H103" s="11" t="n"/>
      <c r="I103" s="11" t="n"/>
      <c r="J103" s="11" t="n"/>
    </row>
    <row r="104" ht="22" customHeight="1">
      <c r="B104" s="15">
        <f>IF(C104="","INC-"&amp;TEXT(COUNTA($C$5:C104),"000"))</f>
        <v/>
      </c>
      <c r="C104" s="29" t="n"/>
      <c r="D104" s="13" t="n"/>
      <c r="E104" s="13" t="n"/>
      <c r="F104" s="13" t="n"/>
      <c r="G104" s="13" t="n"/>
      <c r="H104" s="13" t="n"/>
      <c r="I104" s="13" t="n"/>
      <c r="J104" s="13" t="n"/>
    </row>
    <row r="105" ht="22" customHeight="1">
      <c r="B105" s="16">
        <f>IF(C105="","INC-"&amp;TEXT(COUNTA($C$5:C105),"000"))</f>
        <v/>
      </c>
      <c r="C105" s="28" t="n"/>
      <c r="D105" s="11" t="n"/>
      <c r="E105" s="11" t="n"/>
      <c r="F105" s="11" t="n"/>
      <c r="G105" s="11" t="n"/>
      <c r="H105" s="11" t="n"/>
      <c r="I105" s="11" t="n"/>
      <c r="J105" s="11" t="n"/>
    </row>
    <row r="106" ht="22" customHeight="1">
      <c r="B106" s="15">
        <f>IF(C106="","INC-"&amp;TEXT(COUNTA($C$5:C106),"000"))</f>
        <v/>
      </c>
      <c r="C106" s="29" t="n"/>
      <c r="D106" s="13" t="n"/>
      <c r="E106" s="13" t="n"/>
      <c r="F106" s="13" t="n"/>
      <c r="G106" s="13" t="n"/>
      <c r="H106" s="13" t="n"/>
      <c r="I106" s="13" t="n"/>
      <c r="J106" s="13" t="n"/>
    </row>
    <row r="107" ht="22" customHeight="1">
      <c r="B107" s="16">
        <f>IF(C107="","INC-"&amp;TEXT(COUNTA($C$5:C107),"000"))</f>
        <v/>
      </c>
      <c r="C107" s="28" t="n"/>
      <c r="D107" s="11" t="n"/>
      <c r="E107" s="11" t="n"/>
      <c r="F107" s="11" t="n"/>
      <c r="G107" s="11" t="n"/>
      <c r="H107" s="11" t="n"/>
      <c r="I107" s="11" t="n"/>
      <c r="J107" s="11" t="n"/>
    </row>
    <row r="108" ht="22" customHeight="1">
      <c r="B108" s="15">
        <f>IF(C108="","INC-"&amp;TEXT(COUNTA($C$5:C108),"000"))</f>
        <v/>
      </c>
      <c r="C108" s="29" t="n"/>
      <c r="D108" s="13" t="n"/>
      <c r="E108" s="13" t="n"/>
      <c r="F108" s="13" t="n"/>
      <c r="G108" s="13" t="n"/>
      <c r="H108" s="13" t="n"/>
      <c r="I108" s="13" t="n"/>
      <c r="J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Evenements</t>
        </is>
      </c>
      <c r="D111" s="3" t="inlineStr">
        <is>
          <t>Vrais incendies</t>
        </is>
      </c>
      <c r="F111" s="3" t="inlineStr">
        <is>
          <t>Fausses alarmes</t>
        </is>
      </c>
      <c r="H111" s="3" t="inlineStr">
        <is>
          <t>Intervention pompiers</t>
        </is>
      </c>
    </row>
    <row r="112">
      <c r="B112" s="4">
        <f>COUNTIF(B5:B104,"&lt;&gt;")</f>
        <v/>
      </c>
      <c r="D112" s="4">
        <f>COUNTIF(D5:D104,"Debut incendie")</f>
        <v/>
      </c>
      <c r="F112" s="4">
        <f>COUNTIF(D5:D104,"Fausse alarme")</f>
        <v/>
      </c>
      <c r="H112" s="4">
        <f>COUNTIF(I5:I104,"Oui")</f>
        <v/>
      </c>
    </row>
  </sheetData>
  <mergeCells count="3">
    <mergeCell ref="B110:J110"/>
    <mergeCell ref="B3:J3"/>
    <mergeCell ref="B2:J2"/>
  </mergeCells>
  <conditionalFormatting sqref="J5:J108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9:B108">
    <cfRule type="expression" priority="150" dxfId="0">
      <formula>AND($C9="",$C8&lt;&gt;"")</formula>
    </cfRule>
  </conditionalFormatting>
  <conditionalFormatting sqref="C9:C108">
    <cfRule type="expression" priority="151" dxfId="0">
      <formula>AND($C9="",$C8&lt;&gt;"")</formula>
    </cfRule>
  </conditionalFormatting>
  <conditionalFormatting sqref="D9:D108">
    <cfRule type="expression" priority="152" dxfId="0">
      <formula>AND($C9="",$C8&lt;&gt;"")</formula>
    </cfRule>
  </conditionalFormatting>
  <conditionalFormatting sqref="E9:E108">
    <cfRule type="expression" priority="153" dxfId="0">
      <formula>AND($C9="",$C8&lt;&gt;"")</formula>
    </cfRule>
  </conditionalFormatting>
  <conditionalFormatting sqref="F9:F108">
    <cfRule type="expression" priority="154" dxfId="0">
      <formula>AND($C9="",$C8&lt;&gt;"")</formula>
    </cfRule>
  </conditionalFormatting>
  <conditionalFormatting sqref="G9:G108">
    <cfRule type="expression" priority="155" dxfId="0">
      <formula>AND($C9="",$C8&lt;&gt;"")</formula>
    </cfRule>
  </conditionalFormatting>
  <conditionalFormatting sqref="H9:H108">
    <cfRule type="expression" priority="156" dxfId="0">
      <formula>AND($C9="",$C8&lt;&gt;"")</formula>
    </cfRule>
  </conditionalFormatting>
  <conditionalFormatting sqref="I9:I108">
    <cfRule type="expression" priority="157" dxfId="0">
      <formula>AND($C9="",$C8&lt;&gt;"")</formula>
    </cfRule>
  </conditionalFormatting>
  <conditionalFormatting sqref="J9:J108">
    <cfRule type="expression" priority="158" dxfId="0">
      <formula>AND($C9="",$C8&lt;&gt;"")</formula>
    </cfRule>
  </conditionalFormatting>
  <dataValidations count="1">
    <dataValidation sqref="J5:J108" showDropDown="0" showInputMessage="0" showErrorMessage="0" allowBlank="1" errorTitle="Erreur" error="Valeur invalide" promptTitle="Liste" prompt="Choisir dans la liste" type="list">
      <formula1>'_Lists'!$J$2:$J$8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6" customWidth="1" min="3" max="3"/>
    <col width="20" customWidth="1" min="4" max="4"/>
    <col width="14" customWidth="1" min="5" max="5"/>
    <col width="14" customWidth="1" min="6" max="6"/>
    <col width="16" customWidth="1" min="7" max="7"/>
    <col width="22" customWidth="1" min="8" max="8"/>
    <col width="16" customWidth="1" min="9" max="9"/>
    <col width="22" customWidth="1" min="10" max="10"/>
    <col width="18" customWidth="1" min="11" max="11"/>
    <col width="14" customWidth="1" min="12" max="12"/>
  </cols>
  <sheetData>
    <row r="1" ht="15" customHeight="1"/>
    <row r="2" ht="32" customHeight="1">
      <c r="B2" s="1" t="inlineStr">
        <is>
          <t>FORMATION SECURITE &amp; SST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Theme Formation</t>
        </is>
      </c>
      <c r="D4" s="10" t="inlineStr">
        <is>
          <t>Formateur</t>
        </is>
      </c>
      <c r="E4" s="10" t="inlineStr">
        <is>
          <t>Date Formation</t>
        </is>
      </c>
      <c r="F4" s="10" t="inlineStr">
        <is>
          <t>Duree (heures)</t>
        </is>
      </c>
      <c r="G4" s="10" t="inlineStr">
        <is>
          <t>Nb Participants</t>
        </is>
      </c>
      <c r="H4" s="10" t="inlineStr">
        <is>
          <t>Departement Cible</t>
        </is>
      </c>
      <c r="I4" s="10" t="inlineStr">
        <is>
          <t>Cout (FCFA)</t>
        </is>
      </c>
      <c r="J4" s="10" t="inlineStr">
        <is>
          <t>Eval. Satisfaction (/20)</t>
        </is>
      </c>
      <c r="K4" s="10" t="inlineStr">
        <is>
          <t>Taux Reussite (%)</t>
        </is>
      </c>
      <c r="L4" s="10" t="inlineStr">
        <is>
          <t>Statut</t>
        </is>
      </c>
    </row>
    <row r="5" ht="22" customHeight="1">
      <c r="B5" s="11" t="inlineStr">
        <is>
          <t>FS-001</t>
        </is>
      </c>
      <c r="C5" s="11" t="inlineStr">
        <is>
          <t>Secourisme - Gestes de 1er secours</t>
        </is>
      </c>
      <c r="D5" s="11" t="inlineStr">
        <is>
          <t>Croix-Rouge</t>
        </is>
      </c>
      <c r="E5" s="28" t="n">
        <v>45698</v>
      </c>
      <c r="F5" s="22" t="n">
        <v>8</v>
      </c>
      <c r="G5" s="22" t="n">
        <v>15</v>
      </c>
      <c r="H5" s="11" t="inlineStr">
        <is>
          <t>Tous</t>
        </is>
      </c>
      <c r="I5" s="17" t="n">
        <v>200000</v>
      </c>
      <c r="J5" s="30" t="n">
        <v>18.5</v>
      </c>
      <c r="K5" s="26" t="n">
        <v>100</v>
      </c>
      <c r="L5" s="11" t="inlineStr">
        <is>
          <t>Realisee</t>
        </is>
      </c>
    </row>
    <row r="6" ht="22" customHeight="1">
      <c r="B6" s="13" t="inlineStr">
        <is>
          <t>FS-002</t>
        </is>
      </c>
      <c r="C6" s="13" t="inlineStr">
        <is>
          <t>Manipulation extincteurs</t>
        </is>
      </c>
      <c r="D6" s="13" t="inlineStr">
        <is>
          <t>Chef Securite</t>
        </is>
      </c>
      <c r="E6" s="29" t="n">
        <v>45731</v>
      </c>
      <c r="F6" s="23" t="n">
        <v>3</v>
      </c>
      <c r="G6" s="23" t="n">
        <v>30</v>
      </c>
      <c r="H6" s="13" t="inlineStr">
        <is>
          <t>Tous</t>
        </is>
      </c>
      <c r="I6" s="18" t="n">
        <v>0</v>
      </c>
      <c r="J6" s="31" t="n">
        <v>17</v>
      </c>
      <c r="K6" s="27" t="n">
        <v>95</v>
      </c>
      <c r="L6" s="13" t="inlineStr">
        <is>
          <t>Realisee</t>
        </is>
      </c>
    </row>
    <row r="7" ht="22" customHeight="1">
      <c r="B7" s="11" t="inlineStr">
        <is>
          <t>FS-003</t>
        </is>
      </c>
      <c r="C7" s="11" t="inlineStr">
        <is>
          <t>Travail en hauteur</t>
        </is>
      </c>
      <c r="D7" s="11" t="inlineStr">
        <is>
          <t>Formateur externe</t>
        </is>
      </c>
      <c r="E7" s="28" t="n">
        <v>45767</v>
      </c>
      <c r="F7" s="22" t="n">
        <v>6</v>
      </c>
      <c r="G7" s="22" t="n">
        <v>6</v>
      </c>
      <c r="H7" s="11" t="inlineStr">
        <is>
          <t>Maintenance</t>
        </is>
      </c>
      <c r="I7" s="17" t="n">
        <v>120000</v>
      </c>
      <c r="J7" s="30" t="n">
        <v>0</v>
      </c>
      <c r="K7" s="26" t="n">
        <v>0</v>
      </c>
      <c r="L7" s="11" t="inlineStr">
        <is>
          <t>Reportee</t>
        </is>
      </c>
    </row>
    <row r="8" ht="22" customHeight="1">
      <c r="B8" s="13" t="inlineStr">
        <is>
          <t>FS-004</t>
        </is>
      </c>
      <c r="C8" s="13" t="inlineStr">
        <is>
          <t>HACCP niveau 1</t>
        </is>
      </c>
      <c r="D8" s="13" t="inlineStr">
        <is>
          <t>Bureau Veritas</t>
        </is>
      </c>
      <c r="E8" s="29" t="n">
        <v>45782</v>
      </c>
      <c r="F8" s="23" t="n">
        <v>16</v>
      </c>
      <c r="G8" s="23" t="n">
        <v>12</v>
      </c>
      <c r="H8" s="13" t="inlineStr">
        <is>
          <t>Cuisine &amp; Restauration</t>
        </is>
      </c>
      <c r="I8" s="18" t="n">
        <v>350000</v>
      </c>
      <c r="J8" s="31" t="n">
        <v>16.2</v>
      </c>
      <c r="K8" s="27" t="n">
        <v>92</v>
      </c>
      <c r="L8" s="13" t="inlineStr">
        <is>
          <t>Realisee</t>
        </is>
      </c>
    </row>
    <row r="9" ht="22" customHeight="1">
      <c r="B9" s="11" t="inlineStr">
        <is>
          <t>FS-005</t>
        </is>
      </c>
      <c r="C9" s="11" t="inlineStr">
        <is>
          <t>Gestion des aggressions</t>
        </is>
      </c>
      <c r="D9" s="11" t="inlineStr">
        <is>
          <t>Formateur securite</t>
        </is>
      </c>
      <c r="E9" s="28" t="n">
        <v>45853</v>
      </c>
      <c r="F9" s="22" t="n">
        <v>4</v>
      </c>
      <c r="G9" s="22" t="n">
        <v>8</v>
      </c>
      <c r="H9" s="11" t="inlineStr">
        <is>
          <t>Reception, Securite</t>
        </is>
      </c>
      <c r="I9" s="17" t="n">
        <v>80000</v>
      </c>
      <c r="J9" s="30" t="n">
        <v>0</v>
      </c>
      <c r="K9" s="26" t="n">
        <v>0</v>
      </c>
      <c r="L9" s="11" t="inlineStr">
        <is>
          <t>Planifiee</t>
        </is>
      </c>
    </row>
    <row r="10" ht="22" customHeight="1">
      <c r="B10" s="15">
        <f>IF(C10="","FS-"&amp;TEXT(COUNTA($C$5:C10),"000"))</f>
        <v/>
      </c>
      <c r="C10" s="13" t="n"/>
      <c r="D10" s="13" t="n"/>
      <c r="E10" s="29" t="n"/>
      <c r="F10" s="23" t="n"/>
      <c r="G10" s="23" t="n"/>
      <c r="H10" s="13" t="n"/>
      <c r="I10" s="18" t="n"/>
      <c r="J10" s="31" t="n"/>
      <c r="K10" s="27" t="n"/>
      <c r="L10" s="13" t="n"/>
    </row>
    <row r="11" ht="22" customHeight="1">
      <c r="B11" s="16">
        <f>IF(C11="","FS-"&amp;TEXT(COUNTA($C$5:C11),"000"))</f>
        <v/>
      </c>
      <c r="C11" s="11" t="n"/>
      <c r="D11" s="11" t="n"/>
      <c r="E11" s="28" t="n"/>
      <c r="F11" s="22" t="n"/>
      <c r="G11" s="22" t="n"/>
      <c r="H11" s="11" t="n"/>
      <c r="I11" s="17" t="n"/>
      <c r="J11" s="30" t="n"/>
      <c r="K11" s="26" t="n"/>
      <c r="L11" s="11" t="n"/>
    </row>
    <row r="12" ht="22" customHeight="1">
      <c r="B12" s="15">
        <f>IF(C12="","FS-"&amp;TEXT(COUNTA($C$5:C12),"000"))</f>
        <v/>
      </c>
      <c r="C12" s="13" t="n"/>
      <c r="D12" s="13" t="n"/>
      <c r="E12" s="29" t="n"/>
      <c r="F12" s="23" t="n"/>
      <c r="G12" s="23" t="n"/>
      <c r="H12" s="13" t="n"/>
      <c r="I12" s="18" t="n"/>
      <c r="J12" s="31" t="n"/>
      <c r="K12" s="27" t="n"/>
      <c r="L12" s="13" t="n"/>
    </row>
    <row r="13" ht="22" customHeight="1">
      <c r="B13" s="16">
        <f>IF(C13="","FS-"&amp;TEXT(COUNTA($C$5:C13),"000"))</f>
        <v/>
      </c>
      <c r="C13" s="11" t="n"/>
      <c r="D13" s="11" t="n"/>
      <c r="E13" s="28" t="n"/>
      <c r="F13" s="22" t="n"/>
      <c r="G13" s="22" t="n"/>
      <c r="H13" s="11" t="n"/>
      <c r="I13" s="17" t="n"/>
      <c r="J13" s="30" t="n"/>
      <c r="K13" s="26" t="n"/>
      <c r="L13" s="11" t="n"/>
    </row>
    <row r="14" ht="22" customHeight="1">
      <c r="B14" s="15">
        <f>IF(C14="","FS-"&amp;TEXT(COUNTA($C$5:C14),"000"))</f>
        <v/>
      </c>
      <c r="C14" s="13" t="n"/>
      <c r="D14" s="13" t="n"/>
      <c r="E14" s="29" t="n"/>
      <c r="F14" s="23" t="n"/>
      <c r="G14" s="23" t="n"/>
      <c r="H14" s="13" t="n"/>
      <c r="I14" s="18" t="n"/>
      <c r="J14" s="31" t="n"/>
      <c r="K14" s="27" t="n"/>
      <c r="L14" s="13" t="n"/>
    </row>
    <row r="15" ht="22" customHeight="1">
      <c r="B15" s="16">
        <f>IF(C15="","FS-"&amp;TEXT(COUNTA($C$5:C15),"000"))</f>
        <v/>
      </c>
      <c r="C15" s="11" t="n"/>
      <c r="D15" s="11" t="n"/>
      <c r="E15" s="28" t="n"/>
      <c r="F15" s="22" t="n"/>
      <c r="G15" s="22" t="n"/>
      <c r="H15" s="11" t="n"/>
      <c r="I15" s="17" t="n"/>
      <c r="J15" s="30" t="n"/>
      <c r="K15" s="26" t="n"/>
      <c r="L15" s="11" t="n"/>
    </row>
    <row r="16" ht="22" customHeight="1">
      <c r="B16" s="15">
        <f>IF(C16="","FS-"&amp;TEXT(COUNTA($C$5:C16),"000"))</f>
        <v/>
      </c>
      <c r="C16" s="13" t="n"/>
      <c r="D16" s="13" t="n"/>
      <c r="E16" s="29" t="n"/>
      <c r="F16" s="23" t="n"/>
      <c r="G16" s="23" t="n"/>
      <c r="H16" s="13" t="n"/>
      <c r="I16" s="18" t="n"/>
      <c r="J16" s="31" t="n"/>
      <c r="K16" s="27" t="n"/>
      <c r="L16" s="13" t="n"/>
    </row>
    <row r="17" ht="22" customHeight="1">
      <c r="B17" s="16">
        <f>IF(C17="","FS-"&amp;TEXT(COUNTA($C$5:C17),"000"))</f>
        <v/>
      </c>
      <c r="C17" s="11" t="n"/>
      <c r="D17" s="11" t="n"/>
      <c r="E17" s="28" t="n"/>
      <c r="F17" s="22" t="n"/>
      <c r="G17" s="22" t="n"/>
      <c r="H17" s="11" t="n"/>
      <c r="I17" s="17" t="n"/>
      <c r="J17" s="30" t="n"/>
      <c r="K17" s="26" t="n"/>
      <c r="L17" s="11" t="n"/>
    </row>
    <row r="18" ht="22" customHeight="1">
      <c r="B18" s="15">
        <f>IF(C18="","FS-"&amp;TEXT(COUNTA($C$5:C18),"000"))</f>
        <v/>
      </c>
      <c r="C18" s="13" t="n"/>
      <c r="D18" s="13" t="n"/>
      <c r="E18" s="29" t="n"/>
      <c r="F18" s="23" t="n"/>
      <c r="G18" s="23" t="n"/>
      <c r="H18" s="13" t="n"/>
      <c r="I18" s="18" t="n"/>
      <c r="J18" s="31" t="n"/>
      <c r="K18" s="27" t="n"/>
      <c r="L18" s="13" t="n"/>
    </row>
    <row r="19" ht="22" customHeight="1">
      <c r="B19" s="16">
        <f>IF(C19="","FS-"&amp;TEXT(COUNTA($C$5:C19),"000"))</f>
        <v/>
      </c>
      <c r="C19" s="11" t="n"/>
      <c r="D19" s="11" t="n"/>
      <c r="E19" s="28" t="n"/>
      <c r="F19" s="22" t="n"/>
      <c r="G19" s="22" t="n"/>
      <c r="H19" s="11" t="n"/>
      <c r="I19" s="17" t="n"/>
      <c r="J19" s="30" t="n"/>
      <c r="K19" s="26" t="n"/>
      <c r="L19" s="11" t="n"/>
    </row>
    <row r="20" ht="22" customHeight="1">
      <c r="B20" s="15">
        <f>IF(C20="","FS-"&amp;TEXT(COUNTA($C$5:C20),"000"))</f>
        <v/>
      </c>
      <c r="C20" s="13" t="n"/>
      <c r="D20" s="13" t="n"/>
      <c r="E20" s="29" t="n"/>
      <c r="F20" s="23" t="n"/>
      <c r="G20" s="23" t="n"/>
      <c r="H20" s="13" t="n"/>
      <c r="I20" s="18" t="n"/>
      <c r="J20" s="31" t="n"/>
      <c r="K20" s="27" t="n"/>
      <c r="L20" s="13" t="n"/>
    </row>
    <row r="21" ht="22" customHeight="1">
      <c r="B21" s="16">
        <f>IF(C21="","FS-"&amp;TEXT(COUNTA($C$5:C21),"000"))</f>
        <v/>
      </c>
      <c r="C21" s="11" t="n"/>
      <c r="D21" s="11" t="n"/>
      <c r="E21" s="28" t="n"/>
      <c r="F21" s="22" t="n"/>
      <c r="G21" s="22" t="n"/>
      <c r="H21" s="11" t="n"/>
      <c r="I21" s="17" t="n"/>
      <c r="J21" s="30" t="n"/>
      <c r="K21" s="26" t="n"/>
      <c r="L21" s="11" t="n"/>
    </row>
    <row r="22" ht="22" customHeight="1">
      <c r="B22" s="15">
        <f>IF(C22="","FS-"&amp;TEXT(COUNTA($C$5:C22),"000"))</f>
        <v/>
      </c>
      <c r="C22" s="13" t="n"/>
      <c r="D22" s="13" t="n"/>
      <c r="E22" s="29" t="n"/>
      <c r="F22" s="23" t="n"/>
      <c r="G22" s="23" t="n"/>
      <c r="H22" s="13" t="n"/>
      <c r="I22" s="18" t="n"/>
      <c r="J22" s="31" t="n"/>
      <c r="K22" s="27" t="n"/>
      <c r="L22" s="13" t="n"/>
    </row>
    <row r="23" ht="22" customHeight="1">
      <c r="B23" s="16">
        <f>IF(C23="","FS-"&amp;TEXT(COUNTA($C$5:C23),"000"))</f>
        <v/>
      </c>
      <c r="C23" s="11" t="n"/>
      <c r="D23" s="11" t="n"/>
      <c r="E23" s="28" t="n"/>
      <c r="F23" s="22" t="n"/>
      <c r="G23" s="22" t="n"/>
      <c r="H23" s="11" t="n"/>
      <c r="I23" s="17" t="n"/>
      <c r="J23" s="30" t="n"/>
      <c r="K23" s="26" t="n"/>
      <c r="L23" s="11" t="n"/>
    </row>
    <row r="24" ht="22" customHeight="1">
      <c r="B24" s="15">
        <f>IF(C24="","FS-"&amp;TEXT(COUNTA($C$5:C24),"000"))</f>
        <v/>
      </c>
      <c r="C24" s="13" t="n"/>
      <c r="D24" s="13" t="n"/>
      <c r="E24" s="29" t="n"/>
      <c r="F24" s="23" t="n"/>
      <c r="G24" s="23" t="n"/>
      <c r="H24" s="13" t="n"/>
      <c r="I24" s="18" t="n"/>
      <c r="J24" s="31" t="n"/>
      <c r="K24" s="27" t="n"/>
      <c r="L24" s="13" t="n"/>
    </row>
    <row r="25" ht="22" customHeight="1">
      <c r="B25" s="16">
        <f>IF(C25="","FS-"&amp;TEXT(COUNTA($C$5:C25),"000"))</f>
        <v/>
      </c>
      <c r="C25" s="11" t="n"/>
      <c r="D25" s="11" t="n"/>
      <c r="E25" s="28" t="n"/>
      <c r="F25" s="22" t="n"/>
      <c r="G25" s="22" t="n"/>
      <c r="H25" s="11" t="n"/>
      <c r="I25" s="17" t="n"/>
      <c r="J25" s="30" t="n"/>
      <c r="K25" s="26" t="n"/>
      <c r="L25" s="11" t="n"/>
    </row>
    <row r="26" ht="22" customHeight="1">
      <c r="B26" s="15">
        <f>IF(C26="","FS-"&amp;TEXT(COUNTA($C$5:C26),"000"))</f>
        <v/>
      </c>
      <c r="C26" s="13" t="n"/>
      <c r="D26" s="13" t="n"/>
      <c r="E26" s="29" t="n"/>
      <c r="F26" s="23" t="n"/>
      <c r="G26" s="23" t="n"/>
      <c r="H26" s="13" t="n"/>
      <c r="I26" s="18" t="n"/>
      <c r="J26" s="31" t="n"/>
      <c r="K26" s="27" t="n"/>
      <c r="L26" s="13" t="n"/>
    </row>
    <row r="27" ht="22" customHeight="1">
      <c r="B27" s="16">
        <f>IF(C27="","FS-"&amp;TEXT(COUNTA($C$5:C27),"000"))</f>
        <v/>
      </c>
      <c r="C27" s="11" t="n"/>
      <c r="D27" s="11" t="n"/>
      <c r="E27" s="28" t="n"/>
      <c r="F27" s="22" t="n"/>
      <c r="G27" s="22" t="n"/>
      <c r="H27" s="11" t="n"/>
      <c r="I27" s="17" t="n"/>
      <c r="J27" s="30" t="n"/>
      <c r="K27" s="26" t="n"/>
      <c r="L27" s="11" t="n"/>
    </row>
    <row r="28" ht="22" customHeight="1">
      <c r="B28" s="15">
        <f>IF(C28="","FS-"&amp;TEXT(COUNTA($C$5:C28),"000"))</f>
        <v/>
      </c>
      <c r="C28" s="13" t="n"/>
      <c r="D28" s="13" t="n"/>
      <c r="E28" s="29" t="n"/>
      <c r="F28" s="23" t="n"/>
      <c r="G28" s="23" t="n"/>
      <c r="H28" s="13" t="n"/>
      <c r="I28" s="18" t="n"/>
      <c r="J28" s="31" t="n"/>
      <c r="K28" s="27" t="n"/>
      <c r="L28" s="13" t="n"/>
    </row>
    <row r="29" ht="22" customHeight="1">
      <c r="B29" s="16">
        <f>IF(C29="","FS-"&amp;TEXT(COUNTA($C$5:C29),"000"))</f>
        <v/>
      </c>
      <c r="C29" s="11" t="n"/>
      <c r="D29" s="11" t="n"/>
      <c r="E29" s="28" t="n"/>
      <c r="F29" s="22" t="n"/>
      <c r="G29" s="22" t="n"/>
      <c r="H29" s="11" t="n"/>
      <c r="I29" s="17" t="n"/>
      <c r="J29" s="30" t="n"/>
      <c r="K29" s="26" t="n"/>
      <c r="L29" s="11" t="n"/>
    </row>
    <row r="30" ht="22" customHeight="1">
      <c r="B30" s="15">
        <f>IF(C30="","FS-"&amp;TEXT(COUNTA($C$5:C30),"000"))</f>
        <v/>
      </c>
      <c r="C30" s="13" t="n"/>
      <c r="D30" s="13" t="n"/>
      <c r="E30" s="29" t="n"/>
      <c r="F30" s="23" t="n"/>
      <c r="G30" s="23" t="n"/>
      <c r="H30" s="13" t="n"/>
      <c r="I30" s="18" t="n"/>
      <c r="J30" s="31" t="n"/>
      <c r="K30" s="27" t="n"/>
      <c r="L30" s="13" t="n"/>
    </row>
    <row r="31" ht="22" customHeight="1">
      <c r="B31" s="16">
        <f>IF(C31="","FS-"&amp;TEXT(COUNTA($C$5:C31),"000"))</f>
        <v/>
      </c>
      <c r="C31" s="11" t="n"/>
      <c r="D31" s="11" t="n"/>
      <c r="E31" s="28" t="n"/>
      <c r="F31" s="22" t="n"/>
      <c r="G31" s="22" t="n"/>
      <c r="H31" s="11" t="n"/>
      <c r="I31" s="17" t="n"/>
      <c r="J31" s="30" t="n"/>
      <c r="K31" s="26" t="n"/>
      <c r="L31" s="11" t="n"/>
    </row>
    <row r="32" ht="22" customHeight="1">
      <c r="B32" s="15">
        <f>IF(C32="","FS-"&amp;TEXT(COUNTA($C$5:C32),"000"))</f>
        <v/>
      </c>
      <c r="C32" s="13" t="n"/>
      <c r="D32" s="13" t="n"/>
      <c r="E32" s="29" t="n"/>
      <c r="F32" s="23" t="n"/>
      <c r="G32" s="23" t="n"/>
      <c r="H32" s="13" t="n"/>
      <c r="I32" s="18" t="n"/>
      <c r="J32" s="31" t="n"/>
      <c r="K32" s="27" t="n"/>
      <c r="L32" s="13" t="n"/>
    </row>
    <row r="33" ht="22" customHeight="1">
      <c r="B33" s="16">
        <f>IF(C33="","FS-"&amp;TEXT(COUNTA($C$5:C33),"000"))</f>
        <v/>
      </c>
      <c r="C33" s="11" t="n"/>
      <c r="D33" s="11" t="n"/>
      <c r="E33" s="28" t="n"/>
      <c r="F33" s="22" t="n"/>
      <c r="G33" s="22" t="n"/>
      <c r="H33" s="11" t="n"/>
      <c r="I33" s="17" t="n"/>
      <c r="J33" s="30" t="n"/>
      <c r="K33" s="26" t="n"/>
      <c r="L33" s="11" t="n"/>
    </row>
    <row r="34" ht="22" customHeight="1">
      <c r="B34" s="15">
        <f>IF(C34="","FS-"&amp;TEXT(COUNTA($C$5:C34),"000"))</f>
        <v/>
      </c>
      <c r="C34" s="13" t="n"/>
      <c r="D34" s="13" t="n"/>
      <c r="E34" s="29" t="n"/>
      <c r="F34" s="23" t="n"/>
      <c r="G34" s="23" t="n"/>
      <c r="H34" s="13" t="n"/>
      <c r="I34" s="18" t="n"/>
      <c r="J34" s="31" t="n"/>
      <c r="K34" s="27" t="n"/>
      <c r="L34" s="13" t="n"/>
    </row>
    <row r="35" ht="22" customHeight="1">
      <c r="B35" s="16">
        <f>IF(C35="","FS-"&amp;TEXT(COUNTA($C$5:C35),"000"))</f>
        <v/>
      </c>
      <c r="C35" s="11" t="n"/>
      <c r="D35" s="11" t="n"/>
      <c r="E35" s="28" t="n"/>
      <c r="F35" s="22" t="n"/>
      <c r="G35" s="22" t="n"/>
      <c r="H35" s="11" t="n"/>
      <c r="I35" s="17" t="n"/>
      <c r="J35" s="30" t="n"/>
      <c r="K35" s="26" t="n"/>
      <c r="L35" s="11" t="n"/>
    </row>
    <row r="36" ht="22" customHeight="1">
      <c r="B36" s="15">
        <f>IF(C36="","FS-"&amp;TEXT(COUNTA($C$5:C36),"000"))</f>
        <v/>
      </c>
      <c r="C36" s="13" t="n"/>
      <c r="D36" s="13" t="n"/>
      <c r="E36" s="29" t="n"/>
      <c r="F36" s="23" t="n"/>
      <c r="G36" s="23" t="n"/>
      <c r="H36" s="13" t="n"/>
      <c r="I36" s="18" t="n"/>
      <c r="J36" s="31" t="n"/>
      <c r="K36" s="27" t="n"/>
      <c r="L36" s="13" t="n"/>
    </row>
    <row r="37" ht="22" customHeight="1">
      <c r="B37" s="16">
        <f>IF(C37="","FS-"&amp;TEXT(COUNTA($C$5:C37),"000"))</f>
        <v/>
      </c>
      <c r="C37" s="11" t="n"/>
      <c r="D37" s="11" t="n"/>
      <c r="E37" s="28" t="n"/>
      <c r="F37" s="22" t="n"/>
      <c r="G37" s="22" t="n"/>
      <c r="H37" s="11" t="n"/>
      <c r="I37" s="17" t="n"/>
      <c r="J37" s="30" t="n"/>
      <c r="K37" s="26" t="n"/>
      <c r="L37" s="11" t="n"/>
    </row>
    <row r="38" ht="22" customHeight="1">
      <c r="B38" s="15">
        <f>IF(C38="","FS-"&amp;TEXT(COUNTA($C$5:C38),"000"))</f>
        <v/>
      </c>
      <c r="C38" s="13" t="n"/>
      <c r="D38" s="13" t="n"/>
      <c r="E38" s="29" t="n"/>
      <c r="F38" s="23" t="n"/>
      <c r="G38" s="23" t="n"/>
      <c r="H38" s="13" t="n"/>
      <c r="I38" s="18" t="n"/>
      <c r="J38" s="31" t="n"/>
      <c r="K38" s="27" t="n"/>
      <c r="L38" s="13" t="n"/>
    </row>
    <row r="39" ht="22" customHeight="1">
      <c r="B39" s="16">
        <f>IF(C39="","FS-"&amp;TEXT(COUNTA($C$5:C39),"000"))</f>
        <v/>
      </c>
      <c r="C39" s="11" t="n"/>
      <c r="D39" s="11" t="n"/>
      <c r="E39" s="28" t="n"/>
      <c r="F39" s="22" t="n"/>
      <c r="G39" s="22" t="n"/>
      <c r="H39" s="11" t="n"/>
      <c r="I39" s="17" t="n"/>
      <c r="J39" s="30" t="n"/>
      <c r="K39" s="26" t="n"/>
      <c r="L39" s="11" t="n"/>
    </row>
    <row r="40" ht="22" customHeight="1">
      <c r="B40" s="15">
        <f>IF(C40="","FS-"&amp;TEXT(COUNTA($C$5:C40),"000"))</f>
        <v/>
      </c>
      <c r="C40" s="13" t="n"/>
      <c r="D40" s="13" t="n"/>
      <c r="E40" s="29" t="n"/>
      <c r="F40" s="23" t="n"/>
      <c r="G40" s="23" t="n"/>
      <c r="H40" s="13" t="n"/>
      <c r="I40" s="18" t="n"/>
      <c r="J40" s="31" t="n"/>
      <c r="K40" s="27" t="n"/>
      <c r="L40" s="13" t="n"/>
    </row>
    <row r="41" ht="22" customHeight="1">
      <c r="B41" s="16">
        <f>IF(C41="","FS-"&amp;TEXT(COUNTA($C$5:C41),"000"))</f>
        <v/>
      </c>
      <c r="C41" s="11" t="n"/>
      <c r="D41" s="11" t="n"/>
      <c r="E41" s="28" t="n"/>
      <c r="F41" s="22" t="n"/>
      <c r="G41" s="22" t="n"/>
      <c r="H41" s="11" t="n"/>
      <c r="I41" s="17" t="n"/>
      <c r="J41" s="30" t="n"/>
      <c r="K41" s="26" t="n"/>
      <c r="L41" s="11" t="n"/>
    </row>
    <row r="42" ht="22" customHeight="1">
      <c r="B42" s="15">
        <f>IF(C42="","FS-"&amp;TEXT(COUNTA($C$5:C42),"000"))</f>
        <v/>
      </c>
      <c r="C42" s="13" t="n"/>
      <c r="D42" s="13" t="n"/>
      <c r="E42" s="29" t="n"/>
      <c r="F42" s="23" t="n"/>
      <c r="G42" s="23" t="n"/>
      <c r="H42" s="13" t="n"/>
      <c r="I42" s="18" t="n"/>
      <c r="J42" s="31" t="n"/>
      <c r="K42" s="27" t="n"/>
      <c r="L42" s="13" t="n"/>
    </row>
    <row r="43" ht="22" customHeight="1">
      <c r="B43" s="16">
        <f>IF(C43="","FS-"&amp;TEXT(COUNTA($C$5:C43),"000"))</f>
        <v/>
      </c>
      <c r="C43" s="11" t="n"/>
      <c r="D43" s="11" t="n"/>
      <c r="E43" s="28" t="n"/>
      <c r="F43" s="22" t="n"/>
      <c r="G43" s="22" t="n"/>
      <c r="H43" s="11" t="n"/>
      <c r="I43" s="17" t="n"/>
      <c r="J43" s="30" t="n"/>
      <c r="K43" s="26" t="n"/>
      <c r="L43" s="11" t="n"/>
    </row>
    <row r="44" ht="22" customHeight="1">
      <c r="B44" s="15">
        <f>IF(C44="","FS-"&amp;TEXT(COUNTA($C$5:C44),"000"))</f>
        <v/>
      </c>
      <c r="C44" s="13" t="n"/>
      <c r="D44" s="13" t="n"/>
      <c r="E44" s="29" t="n"/>
      <c r="F44" s="23" t="n"/>
      <c r="G44" s="23" t="n"/>
      <c r="H44" s="13" t="n"/>
      <c r="I44" s="18" t="n"/>
      <c r="J44" s="31" t="n"/>
      <c r="K44" s="27" t="n"/>
      <c r="L44" s="13" t="n"/>
    </row>
    <row r="45" ht="22" customHeight="1">
      <c r="B45" s="16">
        <f>IF(C45="","FS-"&amp;TEXT(COUNTA($C$5:C45),"000"))</f>
        <v/>
      </c>
      <c r="C45" s="11" t="n"/>
      <c r="D45" s="11" t="n"/>
      <c r="E45" s="28" t="n"/>
      <c r="F45" s="22" t="n"/>
      <c r="G45" s="22" t="n"/>
      <c r="H45" s="11" t="n"/>
      <c r="I45" s="17" t="n"/>
      <c r="J45" s="30" t="n"/>
      <c r="K45" s="26" t="n"/>
      <c r="L45" s="11" t="n"/>
    </row>
    <row r="46" ht="22" customHeight="1">
      <c r="B46" s="15">
        <f>IF(C46="","FS-"&amp;TEXT(COUNTA($C$5:C46),"000"))</f>
        <v/>
      </c>
      <c r="C46" s="13" t="n"/>
      <c r="D46" s="13" t="n"/>
      <c r="E46" s="29" t="n"/>
      <c r="F46" s="23" t="n"/>
      <c r="G46" s="23" t="n"/>
      <c r="H46" s="13" t="n"/>
      <c r="I46" s="18" t="n"/>
      <c r="J46" s="31" t="n"/>
      <c r="K46" s="27" t="n"/>
      <c r="L46" s="13" t="n"/>
    </row>
    <row r="47" ht="22" customHeight="1">
      <c r="B47" s="16">
        <f>IF(C47="","FS-"&amp;TEXT(COUNTA($C$5:C47),"000"))</f>
        <v/>
      </c>
      <c r="C47" s="11" t="n"/>
      <c r="D47" s="11" t="n"/>
      <c r="E47" s="28" t="n"/>
      <c r="F47" s="22" t="n"/>
      <c r="G47" s="22" t="n"/>
      <c r="H47" s="11" t="n"/>
      <c r="I47" s="17" t="n"/>
      <c r="J47" s="30" t="n"/>
      <c r="K47" s="26" t="n"/>
      <c r="L47" s="11" t="n"/>
    </row>
    <row r="48" ht="22" customHeight="1">
      <c r="B48" s="15">
        <f>IF(C48="","FS-"&amp;TEXT(COUNTA($C$5:C48),"000"))</f>
        <v/>
      </c>
      <c r="C48" s="13" t="n"/>
      <c r="D48" s="13" t="n"/>
      <c r="E48" s="29" t="n"/>
      <c r="F48" s="23" t="n"/>
      <c r="G48" s="23" t="n"/>
      <c r="H48" s="13" t="n"/>
      <c r="I48" s="18" t="n"/>
      <c r="J48" s="31" t="n"/>
      <c r="K48" s="27" t="n"/>
      <c r="L48" s="13" t="n"/>
    </row>
    <row r="49" ht="22" customHeight="1">
      <c r="B49" s="16">
        <f>IF(C49="","FS-"&amp;TEXT(COUNTA($C$5:C49),"000"))</f>
        <v/>
      </c>
      <c r="C49" s="11" t="n"/>
      <c r="D49" s="11" t="n"/>
      <c r="E49" s="28" t="n"/>
      <c r="F49" s="22" t="n"/>
      <c r="G49" s="22" t="n"/>
      <c r="H49" s="11" t="n"/>
      <c r="I49" s="17" t="n"/>
      <c r="J49" s="30" t="n"/>
      <c r="K49" s="26" t="n"/>
      <c r="L49" s="11" t="n"/>
    </row>
    <row r="50" ht="22" customHeight="1">
      <c r="B50" s="15">
        <f>IF(C50="","FS-"&amp;TEXT(COUNTA($C$5:C50),"000"))</f>
        <v/>
      </c>
      <c r="C50" s="13" t="n"/>
      <c r="D50" s="13" t="n"/>
      <c r="E50" s="29" t="n"/>
      <c r="F50" s="23" t="n"/>
      <c r="G50" s="23" t="n"/>
      <c r="H50" s="13" t="n"/>
      <c r="I50" s="18" t="n"/>
      <c r="J50" s="31" t="n"/>
      <c r="K50" s="27" t="n"/>
      <c r="L50" s="13" t="n"/>
    </row>
    <row r="51" ht="22" customHeight="1">
      <c r="B51" s="16">
        <f>IF(C51="","FS-"&amp;TEXT(COUNTA($C$5:C51),"000"))</f>
        <v/>
      </c>
      <c r="C51" s="11" t="n"/>
      <c r="D51" s="11" t="n"/>
      <c r="E51" s="28" t="n"/>
      <c r="F51" s="22" t="n"/>
      <c r="G51" s="22" t="n"/>
      <c r="H51" s="11" t="n"/>
      <c r="I51" s="17" t="n"/>
      <c r="J51" s="30" t="n"/>
      <c r="K51" s="26" t="n"/>
      <c r="L51" s="11" t="n"/>
    </row>
    <row r="52" ht="22" customHeight="1">
      <c r="B52" s="15">
        <f>IF(C52="","FS-"&amp;TEXT(COUNTA($C$5:C52),"000"))</f>
        <v/>
      </c>
      <c r="C52" s="13" t="n"/>
      <c r="D52" s="13" t="n"/>
      <c r="E52" s="29" t="n"/>
      <c r="F52" s="23" t="n"/>
      <c r="G52" s="23" t="n"/>
      <c r="H52" s="13" t="n"/>
      <c r="I52" s="18" t="n"/>
      <c r="J52" s="31" t="n"/>
      <c r="K52" s="27" t="n"/>
      <c r="L52" s="13" t="n"/>
    </row>
    <row r="53" ht="22" customHeight="1">
      <c r="B53" s="16">
        <f>IF(C53="","FS-"&amp;TEXT(COUNTA($C$5:C53),"000"))</f>
        <v/>
      </c>
      <c r="C53" s="11" t="n"/>
      <c r="D53" s="11" t="n"/>
      <c r="E53" s="28" t="n"/>
      <c r="F53" s="22" t="n"/>
      <c r="G53" s="22" t="n"/>
      <c r="H53" s="11" t="n"/>
      <c r="I53" s="17" t="n"/>
      <c r="J53" s="30" t="n"/>
      <c r="K53" s="26" t="n"/>
      <c r="L53" s="11" t="n"/>
    </row>
    <row r="54" ht="22" customHeight="1">
      <c r="B54" s="15">
        <f>IF(C54="","FS-"&amp;TEXT(COUNTA($C$5:C54),"000"))</f>
        <v/>
      </c>
      <c r="C54" s="13" t="n"/>
      <c r="D54" s="13" t="n"/>
      <c r="E54" s="29" t="n"/>
      <c r="F54" s="23" t="n"/>
      <c r="G54" s="23" t="n"/>
      <c r="H54" s="13" t="n"/>
      <c r="I54" s="18" t="n"/>
      <c r="J54" s="31" t="n"/>
      <c r="K54" s="27" t="n"/>
      <c r="L54" s="13" t="n"/>
    </row>
    <row r="55" ht="22" customHeight="1">
      <c r="B55" s="16">
        <f>IF(C55="","FS-"&amp;TEXT(COUNTA($C$5:C55),"000"))</f>
        <v/>
      </c>
      <c r="C55" s="11" t="n"/>
      <c r="D55" s="11" t="n"/>
      <c r="E55" s="28" t="n"/>
      <c r="F55" s="22" t="n"/>
      <c r="G55" s="22" t="n"/>
      <c r="H55" s="11" t="n"/>
      <c r="I55" s="17" t="n"/>
      <c r="J55" s="30" t="n"/>
      <c r="K55" s="26" t="n"/>
      <c r="L55" s="11" t="n"/>
    </row>
    <row r="56" ht="22" customHeight="1">
      <c r="B56" s="15">
        <f>IF(C56="","FS-"&amp;TEXT(COUNTA($C$5:C56),"000"))</f>
        <v/>
      </c>
      <c r="C56" s="13" t="n"/>
      <c r="D56" s="13" t="n"/>
      <c r="E56" s="29" t="n"/>
      <c r="F56" s="23" t="n"/>
      <c r="G56" s="23" t="n"/>
      <c r="H56" s="13" t="n"/>
      <c r="I56" s="18" t="n"/>
      <c r="J56" s="31" t="n"/>
      <c r="K56" s="27" t="n"/>
      <c r="L56" s="13" t="n"/>
    </row>
    <row r="57" ht="22" customHeight="1">
      <c r="B57" s="16">
        <f>IF(C57="","FS-"&amp;TEXT(COUNTA($C$5:C57),"000"))</f>
        <v/>
      </c>
      <c r="C57" s="11" t="n"/>
      <c r="D57" s="11" t="n"/>
      <c r="E57" s="28" t="n"/>
      <c r="F57" s="22" t="n"/>
      <c r="G57" s="22" t="n"/>
      <c r="H57" s="11" t="n"/>
      <c r="I57" s="17" t="n"/>
      <c r="J57" s="30" t="n"/>
      <c r="K57" s="26" t="n"/>
      <c r="L57" s="11" t="n"/>
    </row>
    <row r="58" ht="22" customHeight="1">
      <c r="B58" s="15">
        <f>IF(C58="","FS-"&amp;TEXT(COUNTA($C$5:C58),"000"))</f>
        <v/>
      </c>
      <c r="C58" s="13" t="n"/>
      <c r="D58" s="13" t="n"/>
      <c r="E58" s="29" t="n"/>
      <c r="F58" s="23" t="n"/>
      <c r="G58" s="23" t="n"/>
      <c r="H58" s="13" t="n"/>
      <c r="I58" s="18" t="n"/>
      <c r="J58" s="31" t="n"/>
      <c r="K58" s="27" t="n"/>
      <c r="L58" s="13" t="n"/>
    </row>
    <row r="59" ht="22" customHeight="1">
      <c r="B59" s="16">
        <f>IF(C59="","FS-"&amp;TEXT(COUNTA($C$5:C59),"000"))</f>
        <v/>
      </c>
      <c r="C59" s="11" t="n"/>
      <c r="D59" s="11" t="n"/>
      <c r="E59" s="28" t="n"/>
      <c r="F59" s="22" t="n"/>
      <c r="G59" s="22" t="n"/>
      <c r="H59" s="11" t="n"/>
      <c r="I59" s="17" t="n"/>
      <c r="J59" s="30" t="n"/>
      <c r="K59" s="26" t="n"/>
      <c r="L59" s="11" t="n"/>
    </row>
    <row r="60" ht="22" customHeight="1">
      <c r="B60" s="15">
        <f>IF(C60="","FS-"&amp;TEXT(COUNTA($C$5:C60),"000"))</f>
        <v/>
      </c>
      <c r="C60" s="13" t="n"/>
      <c r="D60" s="13" t="n"/>
      <c r="E60" s="29" t="n"/>
      <c r="F60" s="23" t="n"/>
      <c r="G60" s="23" t="n"/>
      <c r="H60" s="13" t="n"/>
      <c r="I60" s="18" t="n"/>
      <c r="J60" s="31" t="n"/>
      <c r="K60" s="27" t="n"/>
      <c r="L60" s="13" t="n"/>
    </row>
    <row r="61" ht="22" customHeight="1">
      <c r="B61" s="16">
        <f>IF(C61="","FS-"&amp;TEXT(COUNTA($C$5:C61),"000"))</f>
        <v/>
      </c>
      <c r="C61" s="11" t="n"/>
      <c r="D61" s="11" t="n"/>
      <c r="E61" s="28" t="n"/>
      <c r="F61" s="22" t="n"/>
      <c r="G61" s="22" t="n"/>
      <c r="H61" s="11" t="n"/>
      <c r="I61" s="17" t="n"/>
      <c r="J61" s="30" t="n"/>
      <c r="K61" s="26" t="n"/>
      <c r="L61" s="11" t="n"/>
    </row>
    <row r="62" ht="22" customHeight="1">
      <c r="B62" s="15">
        <f>IF(C62="","FS-"&amp;TEXT(COUNTA($C$5:C62),"000"))</f>
        <v/>
      </c>
      <c r="C62" s="13" t="n"/>
      <c r="D62" s="13" t="n"/>
      <c r="E62" s="29" t="n"/>
      <c r="F62" s="23" t="n"/>
      <c r="G62" s="23" t="n"/>
      <c r="H62" s="13" t="n"/>
      <c r="I62" s="18" t="n"/>
      <c r="J62" s="31" t="n"/>
      <c r="K62" s="27" t="n"/>
      <c r="L62" s="13" t="n"/>
    </row>
    <row r="63" ht="22" customHeight="1">
      <c r="B63" s="16">
        <f>IF(C63="","FS-"&amp;TEXT(COUNTA($C$5:C63),"000"))</f>
        <v/>
      </c>
      <c r="C63" s="11" t="n"/>
      <c r="D63" s="11" t="n"/>
      <c r="E63" s="28" t="n"/>
      <c r="F63" s="22" t="n"/>
      <c r="G63" s="22" t="n"/>
      <c r="H63" s="11" t="n"/>
      <c r="I63" s="17" t="n"/>
      <c r="J63" s="30" t="n"/>
      <c r="K63" s="26" t="n"/>
      <c r="L63" s="11" t="n"/>
    </row>
    <row r="64" ht="22" customHeight="1">
      <c r="B64" s="15">
        <f>IF(C64="","FS-"&amp;TEXT(COUNTA($C$5:C64),"000"))</f>
        <v/>
      </c>
      <c r="C64" s="13" t="n"/>
      <c r="D64" s="13" t="n"/>
      <c r="E64" s="29" t="n"/>
      <c r="F64" s="23" t="n"/>
      <c r="G64" s="23" t="n"/>
      <c r="H64" s="13" t="n"/>
      <c r="I64" s="18" t="n"/>
      <c r="J64" s="31" t="n"/>
      <c r="K64" s="27" t="n"/>
      <c r="L64" s="13" t="n"/>
    </row>
    <row r="65" ht="22" customHeight="1">
      <c r="B65" s="16">
        <f>IF(C65="","FS-"&amp;TEXT(COUNTA($C$5:C65),"000"))</f>
        <v/>
      </c>
      <c r="C65" s="11" t="n"/>
      <c r="D65" s="11" t="n"/>
      <c r="E65" s="28" t="n"/>
      <c r="F65" s="22" t="n"/>
      <c r="G65" s="22" t="n"/>
      <c r="H65" s="11" t="n"/>
      <c r="I65" s="17" t="n"/>
      <c r="J65" s="30" t="n"/>
      <c r="K65" s="26" t="n"/>
      <c r="L65" s="11" t="n"/>
    </row>
    <row r="66" ht="22" customHeight="1">
      <c r="B66" s="15">
        <f>IF(C66="","FS-"&amp;TEXT(COUNTA($C$5:C66),"000"))</f>
        <v/>
      </c>
      <c r="C66" s="13" t="n"/>
      <c r="D66" s="13" t="n"/>
      <c r="E66" s="29" t="n"/>
      <c r="F66" s="23" t="n"/>
      <c r="G66" s="23" t="n"/>
      <c r="H66" s="13" t="n"/>
      <c r="I66" s="18" t="n"/>
      <c r="J66" s="31" t="n"/>
      <c r="K66" s="27" t="n"/>
      <c r="L66" s="13" t="n"/>
    </row>
    <row r="67" ht="22" customHeight="1">
      <c r="B67" s="16">
        <f>IF(C67="","FS-"&amp;TEXT(COUNTA($C$5:C67),"000"))</f>
        <v/>
      </c>
      <c r="C67" s="11" t="n"/>
      <c r="D67" s="11" t="n"/>
      <c r="E67" s="28" t="n"/>
      <c r="F67" s="22" t="n"/>
      <c r="G67" s="22" t="n"/>
      <c r="H67" s="11" t="n"/>
      <c r="I67" s="17" t="n"/>
      <c r="J67" s="30" t="n"/>
      <c r="K67" s="26" t="n"/>
      <c r="L67" s="11" t="n"/>
    </row>
    <row r="68" ht="22" customHeight="1">
      <c r="B68" s="15">
        <f>IF(C68="","FS-"&amp;TEXT(COUNTA($C$5:C68),"000"))</f>
        <v/>
      </c>
      <c r="C68" s="13" t="n"/>
      <c r="D68" s="13" t="n"/>
      <c r="E68" s="29" t="n"/>
      <c r="F68" s="23" t="n"/>
      <c r="G68" s="23" t="n"/>
      <c r="H68" s="13" t="n"/>
      <c r="I68" s="18" t="n"/>
      <c r="J68" s="31" t="n"/>
      <c r="K68" s="27" t="n"/>
      <c r="L68" s="13" t="n"/>
    </row>
    <row r="69" ht="22" customHeight="1">
      <c r="B69" s="16">
        <f>IF(C69="","FS-"&amp;TEXT(COUNTA($C$5:C69),"000"))</f>
        <v/>
      </c>
      <c r="C69" s="11" t="n"/>
      <c r="D69" s="11" t="n"/>
      <c r="E69" s="28" t="n"/>
      <c r="F69" s="22" t="n"/>
      <c r="G69" s="22" t="n"/>
      <c r="H69" s="11" t="n"/>
      <c r="I69" s="17" t="n"/>
      <c r="J69" s="30" t="n"/>
      <c r="K69" s="26" t="n"/>
      <c r="L69" s="11" t="n"/>
    </row>
    <row r="70" ht="22" customHeight="1">
      <c r="B70" s="15">
        <f>IF(C70="","FS-"&amp;TEXT(COUNTA($C$5:C70),"000"))</f>
        <v/>
      </c>
      <c r="C70" s="13" t="n"/>
      <c r="D70" s="13" t="n"/>
      <c r="E70" s="29" t="n"/>
      <c r="F70" s="23" t="n"/>
      <c r="G70" s="23" t="n"/>
      <c r="H70" s="13" t="n"/>
      <c r="I70" s="18" t="n"/>
      <c r="J70" s="31" t="n"/>
      <c r="K70" s="27" t="n"/>
      <c r="L70" s="13" t="n"/>
    </row>
    <row r="71" ht="22" customHeight="1">
      <c r="B71" s="16">
        <f>IF(C71="","FS-"&amp;TEXT(COUNTA($C$5:C71),"000"))</f>
        <v/>
      </c>
      <c r="C71" s="11" t="n"/>
      <c r="D71" s="11" t="n"/>
      <c r="E71" s="28" t="n"/>
      <c r="F71" s="22" t="n"/>
      <c r="G71" s="22" t="n"/>
      <c r="H71" s="11" t="n"/>
      <c r="I71" s="17" t="n"/>
      <c r="J71" s="30" t="n"/>
      <c r="K71" s="26" t="n"/>
      <c r="L71" s="11" t="n"/>
    </row>
    <row r="72" ht="22" customHeight="1">
      <c r="B72" s="15">
        <f>IF(C72="","FS-"&amp;TEXT(COUNTA($C$5:C72),"000"))</f>
        <v/>
      </c>
      <c r="C72" s="13" t="n"/>
      <c r="D72" s="13" t="n"/>
      <c r="E72" s="29" t="n"/>
      <c r="F72" s="23" t="n"/>
      <c r="G72" s="23" t="n"/>
      <c r="H72" s="13" t="n"/>
      <c r="I72" s="18" t="n"/>
      <c r="J72" s="31" t="n"/>
      <c r="K72" s="27" t="n"/>
      <c r="L72" s="13" t="n"/>
    </row>
    <row r="73" ht="22" customHeight="1">
      <c r="B73" s="16">
        <f>IF(C73="","FS-"&amp;TEXT(COUNTA($C$5:C73),"000"))</f>
        <v/>
      </c>
      <c r="C73" s="11" t="n"/>
      <c r="D73" s="11" t="n"/>
      <c r="E73" s="28" t="n"/>
      <c r="F73" s="22" t="n"/>
      <c r="G73" s="22" t="n"/>
      <c r="H73" s="11" t="n"/>
      <c r="I73" s="17" t="n"/>
      <c r="J73" s="30" t="n"/>
      <c r="K73" s="26" t="n"/>
      <c r="L73" s="11" t="n"/>
    </row>
    <row r="74" ht="22" customHeight="1">
      <c r="B74" s="15">
        <f>IF(C74="","FS-"&amp;TEXT(COUNTA($C$5:C74),"000"))</f>
        <v/>
      </c>
      <c r="C74" s="13" t="n"/>
      <c r="D74" s="13" t="n"/>
      <c r="E74" s="29" t="n"/>
      <c r="F74" s="23" t="n"/>
      <c r="G74" s="23" t="n"/>
      <c r="H74" s="13" t="n"/>
      <c r="I74" s="18" t="n"/>
      <c r="J74" s="31" t="n"/>
      <c r="K74" s="27" t="n"/>
      <c r="L74" s="13" t="n"/>
    </row>
    <row r="75" ht="22" customHeight="1">
      <c r="B75" s="16">
        <f>IF(C75="","FS-"&amp;TEXT(COUNTA($C$5:C75),"000"))</f>
        <v/>
      </c>
      <c r="C75" s="11" t="n"/>
      <c r="D75" s="11" t="n"/>
      <c r="E75" s="28" t="n"/>
      <c r="F75" s="22" t="n"/>
      <c r="G75" s="22" t="n"/>
      <c r="H75" s="11" t="n"/>
      <c r="I75" s="17" t="n"/>
      <c r="J75" s="30" t="n"/>
      <c r="K75" s="26" t="n"/>
      <c r="L75" s="11" t="n"/>
    </row>
    <row r="76" ht="22" customHeight="1">
      <c r="B76" s="15">
        <f>IF(C76="","FS-"&amp;TEXT(COUNTA($C$5:C76),"000"))</f>
        <v/>
      </c>
      <c r="C76" s="13" t="n"/>
      <c r="D76" s="13" t="n"/>
      <c r="E76" s="29" t="n"/>
      <c r="F76" s="23" t="n"/>
      <c r="G76" s="23" t="n"/>
      <c r="H76" s="13" t="n"/>
      <c r="I76" s="18" t="n"/>
      <c r="J76" s="31" t="n"/>
      <c r="K76" s="27" t="n"/>
      <c r="L76" s="13" t="n"/>
    </row>
    <row r="77" ht="22" customHeight="1">
      <c r="B77" s="16">
        <f>IF(C77="","FS-"&amp;TEXT(COUNTA($C$5:C77),"000"))</f>
        <v/>
      </c>
      <c r="C77" s="11" t="n"/>
      <c r="D77" s="11" t="n"/>
      <c r="E77" s="28" t="n"/>
      <c r="F77" s="22" t="n"/>
      <c r="G77" s="22" t="n"/>
      <c r="H77" s="11" t="n"/>
      <c r="I77" s="17" t="n"/>
      <c r="J77" s="30" t="n"/>
      <c r="K77" s="26" t="n"/>
      <c r="L77" s="11" t="n"/>
    </row>
    <row r="78" ht="22" customHeight="1">
      <c r="B78" s="15">
        <f>IF(C78="","FS-"&amp;TEXT(COUNTA($C$5:C78),"000"))</f>
        <v/>
      </c>
      <c r="C78" s="13" t="n"/>
      <c r="D78" s="13" t="n"/>
      <c r="E78" s="29" t="n"/>
      <c r="F78" s="23" t="n"/>
      <c r="G78" s="23" t="n"/>
      <c r="H78" s="13" t="n"/>
      <c r="I78" s="18" t="n"/>
      <c r="J78" s="31" t="n"/>
      <c r="K78" s="27" t="n"/>
      <c r="L78" s="13" t="n"/>
    </row>
    <row r="79" ht="22" customHeight="1">
      <c r="B79" s="16">
        <f>IF(C79="","FS-"&amp;TEXT(COUNTA($C$5:C79),"000"))</f>
        <v/>
      </c>
      <c r="C79" s="11" t="n"/>
      <c r="D79" s="11" t="n"/>
      <c r="E79" s="28" t="n"/>
      <c r="F79" s="22" t="n"/>
      <c r="G79" s="22" t="n"/>
      <c r="H79" s="11" t="n"/>
      <c r="I79" s="17" t="n"/>
      <c r="J79" s="30" t="n"/>
      <c r="K79" s="26" t="n"/>
      <c r="L79" s="11" t="n"/>
    </row>
    <row r="80" ht="22" customHeight="1">
      <c r="B80" s="15">
        <f>IF(C80="","FS-"&amp;TEXT(COUNTA($C$5:C80),"000"))</f>
        <v/>
      </c>
      <c r="C80" s="13" t="n"/>
      <c r="D80" s="13" t="n"/>
      <c r="E80" s="29" t="n"/>
      <c r="F80" s="23" t="n"/>
      <c r="G80" s="23" t="n"/>
      <c r="H80" s="13" t="n"/>
      <c r="I80" s="18" t="n"/>
      <c r="J80" s="31" t="n"/>
      <c r="K80" s="27" t="n"/>
      <c r="L80" s="13" t="n"/>
    </row>
    <row r="81" ht="22" customHeight="1">
      <c r="B81" s="16">
        <f>IF(C81="","FS-"&amp;TEXT(COUNTA($C$5:C81),"000"))</f>
        <v/>
      </c>
      <c r="C81" s="11" t="n"/>
      <c r="D81" s="11" t="n"/>
      <c r="E81" s="28" t="n"/>
      <c r="F81" s="22" t="n"/>
      <c r="G81" s="22" t="n"/>
      <c r="H81" s="11" t="n"/>
      <c r="I81" s="17" t="n"/>
      <c r="J81" s="30" t="n"/>
      <c r="K81" s="26" t="n"/>
      <c r="L81" s="11" t="n"/>
    </row>
    <row r="82" ht="22" customHeight="1">
      <c r="B82" s="15">
        <f>IF(C82="","FS-"&amp;TEXT(COUNTA($C$5:C82),"000"))</f>
        <v/>
      </c>
      <c r="C82" s="13" t="n"/>
      <c r="D82" s="13" t="n"/>
      <c r="E82" s="29" t="n"/>
      <c r="F82" s="23" t="n"/>
      <c r="G82" s="23" t="n"/>
      <c r="H82" s="13" t="n"/>
      <c r="I82" s="18" t="n"/>
      <c r="J82" s="31" t="n"/>
      <c r="K82" s="27" t="n"/>
      <c r="L82" s="13" t="n"/>
    </row>
    <row r="83" ht="22" customHeight="1">
      <c r="B83" s="16">
        <f>IF(C83="","FS-"&amp;TEXT(COUNTA($C$5:C83),"000"))</f>
        <v/>
      </c>
      <c r="C83" s="11" t="n"/>
      <c r="D83" s="11" t="n"/>
      <c r="E83" s="28" t="n"/>
      <c r="F83" s="22" t="n"/>
      <c r="G83" s="22" t="n"/>
      <c r="H83" s="11" t="n"/>
      <c r="I83" s="17" t="n"/>
      <c r="J83" s="30" t="n"/>
      <c r="K83" s="26" t="n"/>
      <c r="L83" s="11" t="n"/>
    </row>
    <row r="84" ht="22" customHeight="1">
      <c r="B84" s="15">
        <f>IF(C84="","FS-"&amp;TEXT(COUNTA($C$5:C84),"000"))</f>
        <v/>
      </c>
      <c r="C84" s="13" t="n"/>
      <c r="D84" s="13" t="n"/>
      <c r="E84" s="29" t="n"/>
      <c r="F84" s="23" t="n"/>
      <c r="G84" s="23" t="n"/>
      <c r="H84" s="13" t="n"/>
      <c r="I84" s="18" t="n"/>
      <c r="J84" s="31" t="n"/>
      <c r="K84" s="27" t="n"/>
      <c r="L84" s="13" t="n"/>
    </row>
    <row r="85" ht="22" customHeight="1">
      <c r="B85" s="16">
        <f>IF(C85="","FS-"&amp;TEXT(COUNTA($C$5:C85),"000"))</f>
        <v/>
      </c>
      <c r="C85" s="11" t="n"/>
      <c r="D85" s="11" t="n"/>
      <c r="E85" s="28" t="n"/>
      <c r="F85" s="22" t="n"/>
      <c r="G85" s="22" t="n"/>
      <c r="H85" s="11" t="n"/>
      <c r="I85" s="17" t="n"/>
      <c r="J85" s="30" t="n"/>
      <c r="K85" s="26" t="n"/>
      <c r="L85" s="11" t="n"/>
    </row>
    <row r="86" ht="22" customHeight="1">
      <c r="B86" s="15">
        <f>IF(C86="","FS-"&amp;TEXT(COUNTA($C$5:C86),"000"))</f>
        <v/>
      </c>
      <c r="C86" s="13" t="n"/>
      <c r="D86" s="13" t="n"/>
      <c r="E86" s="29" t="n"/>
      <c r="F86" s="23" t="n"/>
      <c r="G86" s="23" t="n"/>
      <c r="H86" s="13" t="n"/>
      <c r="I86" s="18" t="n"/>
      <c r="J86" s="31" t="n"/>
      <c r="K86" s="27" t="n"/>
      <c r="L86" s="13" t="n"/>
    </row>
    <row r="87" ht="22" customHeight="1">
      <c r="B87" s="16">
        <f>IF(C87="","FS-"&amp;TEXT(COUNTA($C$5:C87),"000"))</f>
        <v/>
      </c>
      <c r="C87" s="11" t="n"/>
      <c r="D87" s="11" t="n"/>
      <c r="E87" s="28" t="n"/>
      <c r="F87" s="22" t="n"/>
      <c r="G87" s="22" t="n"/>
      <c r="H87" s="11" t="n"/>
      <c r="I87" s="17" t="n"/>
      <c r="J87" s="30" t="n"/>
      <c r="K87" s="26" t="n"/>
      <c r="L87" s="11" t="n"/>
    </row>
    <row r="88" ht="22" customHeight="1">
      <c r="B88" s="15">
        <f>IF(C88="","FS-"&amp;TEXT(COUNTA($C$5:C88),"000"))</f>
        <v/>
      </c>
      <c r="C88" s="13" t="n"/>
      <c r="D88" s="13" t="n"/>
      <c r="E88" s="29" t="n"/>
      <c r="F88" s="23" t="n"/>
      <c r="G88" s="23" t="n"/>
      <c r="H88" s="13" t="n"/>
      <c r="I88" s="18" t="n"/>
      <c r="J88" s="31" t="n"/>
      <c r="K88" s="27" t="n"/>
      <c r="L88" s="13" t="n"/>
    </row>
    <row r="89" ht="22" customHeight="1">
      <c r="B89" s="16">
        <f>IF(C89="","FS-"&amp;TEXT(COUNTA($C$5:C89),"000"))</f>
        <v/>
      </c>
      <c r="C89" s="11" t="n"/>
      <c r="D89" s="11" t="n"/>
      <c r="E89" s="28" t="n"/>
      <c r="F89" s="22" t="n"/>
      <c r="G89" s="22" t="n"/>
      <c r="H89" s="11" t="n"/>
      <c r="I89" s="17" t="n"/>
      <c r="J89" s="30" t="n"/>
      <c r="K89" s="26" t="n"/>
      <c r="L89" s="11" t="n"/>
    </row>
    <row r="90" ht="22" customHeight="1">
      <c r="B90" s="15">
        <f>IF(C90="","FS-"&amp;TEXT(COUNTA($C$5:C90),"000"))</f>
        <v/>
      </c>
      <c r="C90" s="13" t="n"/>
      <c r="D90" s="13" t="n"/>
      <c r="E90" s="29" t="n"/>
      <c r="F90" s="23" t="n"/>
      <c r="G90" s="23" t="n"/>
      <c r="H90" s="13" t="n"/>
      <c r="I90" s="18" t="n"/>
      <c r="J90" s="31" t="n"/>
      <c r="K90" s="27" t="n"/>
      <c r="L90" s="13" t="n"/>
    </row>
    <row r="91" ht="22" customHeight="1">
      <c r="B91" s="16">
        <f>IF(C91="","FS-"&amp;TEXT(COUNTA($C$5:C91),"000"))</f>
        <v/>
      </c>
      <c r="C91" s="11" t="n"/>
      <c r="D91" s="11" t="n"/>
      <c r="E91" s="28" t="n"/>
      <c r="F91" s="22" t="n"/>
      <c r="G91" s="22" t="n"/>
      <c r="H91" s="11" t="n"/>
      <c r="I91" s="17" t="n"/>
      <c r="J91" s="30" t="n"/>
      <c r="K91" s="26" t="n"/>
      <c r="L91" s="11" t="n"/>
    </row>
    <row r="92" ht="22" customHeight="1">
      <c r="B92" s="15">
        <f>IF(C92="","FS-"&amp;TEXT(COUNTA($C$5:C92),"000"))</f>
        <v/>
      </c>
      <c r="C92" s="13" t="n"/>
      <c r="D92" s="13" t="n"/>
      <c r="E92" s="29" t="n"/>
      <c r="F92" s="23" t="n"/>
      <c r="G92" s="23" t="n"/>
      <c r="H92" s="13" t="n"/>
      <c r="I92" s="18" t="n"/>
      <c r="J92" s="31" t="n"/>
      <c r="K92" s="27" t="n"/>
      <c r="L92" s="13" t="n"/>
    </row>
    <row r="93" ht="22" customHeight="1">
      <c r="B93" s="16">
        <f>IF(C93="","FS-"&amp;TEXT(COUNTA($C$5:C93),"000"))</f>
        <v/>
      </c>
      <c r="C93" s="11" t="n"/>
      <c r="D93" s="11" t="n"/>
      <c r="E93" s="28" t="n"/>
      <c r="F93" s="22" t="n"/>
      <c r="G93" s="22" t="n"/>
      <c r="H93" s="11" t="n"/>
      <c r="I93" s="17" t="n"/>
      <c r="J93" s="30" t="n"/>
      <c r="K93" s="26" t="n"/>
      <c r="L93" s="11" t="n"/>
    </row>
    <row r="94" ht="22" customHeight="1">
      <c r="B94" s="15">
        <f>IF(C94="","FS-"&amp;TEXT(COUNTA($C$5:C94),"000"))</f>
        <v/>
      </c>
      <c r="C94" s="13" t="n"/>
      <c r="D94" s="13" t="n"/>
      <c r="E94" s="29" t="n"/>
      <c r="F94" s="23" t="n"/>
      <c r="G94" s="23" t="n"/>
      <c r="H94" s="13" t="n"/>
      <c r="I94" s="18" t="n"/>
      <c r="J94" s="31" t="n"/>
      <c r="K94" s="27" t="n"/>
      <c r="L94" s="13" t="n"/>
    </row>
    <row r="95" ht="22" customHeight="1">
      <c r="B95" s="16">
        <f>IF(C95="","FS-"&amp;TEXT(COUNTA($C$5:C95),"000"))</f>
        <v/>
      </c>
      <c r="C95" s="11" t="n"/>
      <c r="D95" s="11" t="n"/>
      <c r="E95" s="28" t="n"/>
      <c r="F95" s="22" t="n"/>
      <c r="G95" s="22" t="n"/>
      <c r="H95" s="11" t="n"/>
      <c r="I95" s="17" t="n"/>
      <c r="J95" s="30" t="n"/>
      <c r="K95" s="26" t="n"/>
      <c r="L95" s="11" t="n"/>
    </row>
    <row r="96" ht="22" customHeight="1">
      <c r="B96" s="15">
        <f>IF(C96="","FS-"&amp;TEXT(COUNTA($C$5:C96),"000"))</f>
        <v/>
      </c>
      <c r="C96" s="13" t="n"/>
      <c r="D96" s="13" t="n"/>
      <c r="E96" s="29" t="n"/>
      <c r="F96" s="23" t="n"/>
      <c r="G96" s="23" t="n"/>
      <c r="H96" s="13" t="n"/>
      <c r="I96" s="18" t="n"/>
      <c r="J96" s="31" t="n"/>
      <c r="K96" s="27" t="n"/>
      <c r="L96" s="13" t="n"/>
    </row>
    <row r="97" ht="22" customHeight="1">
      <c r="B97" s="16">
        <f>IF(C97="","FS-"&amp;TEXT(COUNTA($C$5:C97),"000"))</f>
        <v/>
      </c>
      <c r="C97" s="11" t="n"/>
      <c r="D97" s="11" t="n"/>
      <c r="E97" s="28" t="n"/>
      <c r="F97" s="22" t="n"/>
      <c r="G97" s="22" t="n"/>
      <c r="H97" s="11" t="n"/>
      <c r="I97" s="17" t="n"/>
      <c r="J97" s="30" t="n"/>
      <c r="K97" s="26" t="n"/>
      <c r="L97" s="11" t="n"/>
    </row>
    <row r="98" ht="22" customHeight="1">
      <c r="B98" s="15">
        <f>IF(C98="","FS-"&amp;TEXT(COUNTA($C$5:C98),"000"))</f>
        <v/>
      </c>
      <c r="C98" s="13" t="n"/>
      <c r="D98" s="13" t="n"/>
      <c r="E98" s="29" t="n"/>
      <c r="F98" s="23" t="n"/>
      <c r="G98" s="23" t="n"/>
      <c r="H98" s="13" t="n"/>
      <c r="I98" s="18" t="n"/>
      <c r="J98" s="31" t="n"/>
      <c r="K98" s="27" t="n"/>
      <c r="L98" s="13" t="n"/>
    </row>
    <row r="99" ht="22" customHeight="1">
      <c r="B99" s="16">
        <f>IF(C99="","FS-"&amp;TEXT(COUNTA($C$5:C99),"000"))</f>
        <v/>
      </c>
      <c r="C99" s="11" t="n"/>
      <c r="D99" s="11" t="n"/>
      <c r="E99" s="28" t="n"/>
      <c r="F99" s="22" t="n"/>
      <c r="G99" s="22" t="n"/>
      <c r="H99" s="11" t="n"/>
      <c r="I99" s="17" t="n"/>
      <c r="J99" s="30" t="n"/>
      <c r="K99" s="26" t="n"/>
      <c r="L99" s="11" t="n"/>
    </row>
    <row r="100" ht="22" customHeight="1">
      <c r="B100" s="15">
        <f>IF(C100="","FS-"&amp;TEXT(COUNTA($C$5:C100),"000"))</f>
        <v/>
      </c>
      <c r="C100" s="13" t="n"/>
      <c r="D100" s="13" t="n"/>
      <c r="E100" s="29" t="n"/>
      <c r="F100" s="23" t="n"/>
      <c r="G100" s="23" t="n"/>
      <c r="H100" s="13" t="n"/>
      <c r="I100" s="18" t="n"/>
      <c r="J100" s="31" t="n"/>
      <c r="K100" s="27" t="n"/>
      <c r="L100" s="13" t="n"/>
    </row>
    <row r="101" ht="22" customHeight="1">
      <c r="B101" s="16">
        <f>IF(C101="","FS-"&amp;TEXT(COUNTA($C$5:C101),"000"))</f>
        <v/>
      </c>
      <c r="C101" s="11" t="n"/>
      <c r="D101" s="11" t="n"/>
      <c r="E101" s="28" t="n"/>
      <c r="F101" s="22" t="n"/>
      <c r="G101" s="22" t="n"/>
      <c r="H101" s="11" t="n"/>
      <c r="I101" s="17" t="n"/>
      <c r="J101" s="30" t="n"/>
      <c r="K101" s="26" t="n"/>
      <c r="L101" s="11" t="n"/>
    </row>
    <row r="102" ht="22" customHeight="1">
      <c r="B102" s="15">
        <f>IF(C102="","FS-"&amp;TEXT(COUNTA($C$5:C102),"000"))</f>
        <v/>
      </c>
      <c r="C102" s="13" t="n"/>
      <c r="D102" s="13" t="n"/>
      <c r="E102" s="29" t="n"/>
      <c r="F102" s="23" t="n"/>
      <c r="G102" s="23" t="n"/>
      <c r="H102" s="13" t="n"/>
      <c r="I102" s="18" t="n"/>
      <c r="J102" s="31" t="n"/>
      <c r="K102" s="27" t="n"/>
      <c r="L102" s="13" t="n"/>
    </row>
    <row r="103" ht="22" customHeight="1">
      <c r="B103" s="16">
        <f>IF(C103="","FS-"&amp;TEXT(COUNTA($C$5:C103),"000"))</f>
        <v/>
      </c>
      <c r="C103" s="11" t="n"/>
      <c r="D103" s="11" t="n"/>
      <c r="E103" s="28" t="n"/>
      <c r="F103" s="22" t="n"/>
      <c r="G103" s="22" t="n"/>
      <c r="H103" s="11" t="n"/>
      <c r="I103" s="17" t="n"/>
      <c r="J103" s="30" t="n"/>
      <c r="K103" s="26" t="n"/>
      <c r="L103" s="11" t="n"/>
    </row>
    <row r="104" ht="22" customHeight="1">
      <c r="B104" s="15">
        <f>IF(C104="","FS-"&amp;TEXT(COUNTA($C$5:C104),"000"))</f>
        <v/>
      </c>
      <c r="C104" s="13" t="n"/>
      <c r="D104" s="13" t="n"/>
      <c r="E104" s="29" t="n"/>
      <c r="F104" s="23" t="n"/>
      <c r="G104" s="23" t="n"/>
      <c r="H104" s="13" t="n"/>
      <c r="I104" s="18" t="n"/>
      <c r="J104" s="31" t="n"/>
      <c r="K104" s="27" t="n"/>
      <c r="L104" s="13" t="n"/>
    </row>
    <row r="105" ht="22" customHeight="1">
      <c r="B105" s="16">
        <f>IF(C105="","FS-"&amp;TEXT(COUNTA($C$5:C105),"000"))</f>
        <v/>
      </c>
      <c r="C105" s="11" t="n"/>
      <c r="D105" s="11" t="n"/>
      <c r="E105" s="28" t="n"/>
      <c r="F105" s="22" t="n"/>
      <c r="G105" s="22" t="n"/>
      <c r="H105" s="11" t="n"/>
      <c r="I105" s="17" t="n"/>
      <c r="J105" s="30" t="n"/>
      <c r="K105" s="26" t="n"/>
      <c r="L105" s="11" t="n"/>
    </row>
    <row r="106" ht="22" customHeight="1">
      <c r="B106" s="15">
        <f>IF(C106="","FS-"&amp;TEXT(COUNTA($C$5:C106),"000"))</f>
        <v/>
      </c>
      <c r="C106" s="13" t="n"/>
      <c r="D106" s="13" t="n"/>
      <c r="E106" s="29" t="n"/>
      <c r="F106" s="23" t="n"/>
      <c r="G106" s="23" t="n"/>
      <c r="H106" s="13" t="n"/>
      <c r="I106" s="18" t="n"/>
      <c r="J106" s="31" t="n"/>
      <c r="K106" s="27" t="n"/>
      <c r="L106" s="13" t="n"/>
    </row>
    <row r="107" ht="22" customHeight="1">
      <c r="B107" s="16">
        <f>IF(C107="","FS-"&amp;TEXT(COUNTA($C$5:C107),"000"))</f>
        <v/>
      </c>
      <c r="C107" s="11" t="n"/>
      <c r="D107" s="11" t="n"/>
      <c r="E107" s="28" t="n"/>
      <c r="F107" s="22" t="n"/>
      <c r="G107" s="22" t="n"/>
      <c r="H107" s="11" t="n"/>
      <c r="I107" s="17" t="n"/>
      <c r="J107" s="30" t="n"/>
      <c r="K107" s="26" t="n"/>
      <c r="L107" s="11" t="n"/>
    </row>
    <row r="108" ht="22" customHeight="1">
      <c r="B108" s="15">
        <f>IF(C108="","FS-"&amp;TEXT(COUNTA($C$5:C108),"000"))</f>
        <v/>
      </c>
      <c r="C108" s="13" t="n"/>
      <c r="D108" s="13" t="n"/>
      <c r="E108" s="29" t="n"/>
      <c r="F108" s="23" t="n"/>
      <c r="G108" s="23" t="n"/>
      <c r="H108" s="13" t="n"/>
      <c r="I108" s="18" t="n"/>
      <c r="J108" s="31" t="n"/>
      <c r="K108" s="27" t="n"/>
      <c r="L108" s="13" t="n"/>
    </row>
    <row r="109" ht="22" customHeight="1">
      <c r="B109" s="16">
        <f>IF(C109="","FS-"&amp;TEXT(COUNTA($C$5:C109),"000"))</f>
        <v/>
      </c>
      <c r="C109" s="11" t="n"/>
      <c r="D109" s="11" t="n"/>
      <c r="E109" s="28" t="n"/>
      <c r="F109" s="22" t="n"/>
      <c r="G109" s="22" t="n"/>
      <c r="H109" s="11" t="n"/>
      <c r="I109" s="17" t="n"/>
      <c r="J109" s="30" t="n"/>
      <c r="K109" s="26" t="n"/>
      <c r="L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1">
        <f>SUM(F5:F104)</f>
        <v/>
      </c>
      <c r="G111" s="21">
        <f>SUM(G5:G104)</f>
        <v/>
      </c>
      <c r="H111" s="20" t="n"/>
      <c r="I111" s="21">
        <f>SUM(I5:I104)</f>
        <v/>
      </c>
      <c r="J111" s="20" t="n"/>
      <c r="K111" s="20" t="n"/>
      <c r="L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Formations</t>
        </is>
      </c>
      <c r="D114" s="3" t="inlineStr">
        <is>
          <t>Realisees</t>
        </is>
      </c>
      <c r="F114" s="3" t="inlineStr">
        <is>
          <t>Total participants</t>
        </is>
      </c>
      <c r="H114" s="3" t="inlineStr">
        <is>
          <t>Cout total (FCFA)</t>
        </is>
      </c>
    </row>
    <row r="115">
      <c r="B115" s="4">
        <f>COUNTIF(B5:B104,"&lt;&gt;")</f>
        <v/>
      </c>
      <c r="D115" s="4">
        <f>COUNTIF(L5:L104,"Realisee")</f>
        <v/>
      </c>
      <c r="F115" s="4">
        <f>SUM(G5:G104)</f>
        <v/>
      </c>
      <c r="H115" s="4">
        <f>SUM(I5:I104)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conditionalFormatting sqref="K10:K109">
    <cfRule type="expression" priority="159" dxfId="0">
      <formula>AND($C10="",$C9&lt;&gt;"")</formula>
    </cfRule>
  </conditionalFormatting>
  <conditionalFormatting sqref="L10:L109">
    <cfRule type="expression" priority="160" dxfId="0">
      <formula>AND($C10="",$C9&lt;&gt;"")</formula>
    </cfRule>
  </conditionalFormatting>
  <dataValidations count="2">
    <dataValidation sqref="H5:H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9" showDropDown="0" showInputMessage="0" showErrorMessage="0" allowBlank="1" errorTitle="Erreur" error="Valeur invalide" promptTitle="Liste" prompt="Choisir dans la liste" type="list">
      <formula1>'_Lists'!$U$2:$U$6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34" customWidth="1" min="4" max="4"/>
    <col width="12" customWidth="1" min="5" max="5"/>
    <col width="18" customWidth="1" min="6" max="6"/>
    <col width="22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15" customHeight="1"/>
    <row r="2" ht="32" customHeight="1">
      <c r="B2" s="1" t="inlineStr">
        <is>
          <t>ACTIONS CORRECTIVES SST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Source</t>
        </is>
      </c>
      <c r="D4" s="10" t="inlineStr">
        <is>
          <t>Description Action</t>
        </is>
      </c>
      <c r="E4" s="10" t="inlineStr">
        <is>
          <t>Risque / AT Lie</t>
        </is>
      </c>
      <c r="F4" s="10" t="inlineStr">
        <is>
          <t>Responsable</t>
        </is>
      </c>
      <c r="G4" s="10" t="inlineStr">
        <is>
          <t>Departement</t>
        </is>
      </c>
      <c r="H4" s="10" t="inlineStr">
        <is>
          <t>Priorite</t>
        </is>
      </c>
      <c r="I4" s="10" t="inlineStr">
        <is>
          <t>Date Lancement</t>
        </is>
      </c>
      <c r="J4" s="10" t="inlineStr">
        <is>
          <t>Echeance</t>
        </is>
      </c>
      <c r="K4" s="10" t="inlineStr">
        <is>
          <t>Avancement (%)</t>
        </is>
      </c>
      <c r="L4" s="10" t="inlineStr">
        <is>
          <t>Cout (FCFA)</t>
        </is>
      </c>
      <c r="M4" s="10" t="inlineStr">
        <is>
          <t>Statut</t>
        </is>
      </c>
    </row>
    <row r="5" ht="22" customHeight="1">
      <c r="B5" s="11" t="inlineStr">
        <is>
          <t>AC-SST-001</t>
        </is>
      </c>
      <c r="C5" s="11" t="inlineStr">
        <is>
          <t>Audit AUD-001</t>
        </is>
      </c>
      <c r="D5" s="11" t="inlineStr">
        <is>
          <t>Installer detecteurs fumee cuisine</t>
        </is>
      </c>
      <c r="E5" s="11" t="inlineStr">
        <is>
          <t>ER-006</t>
        </is>
      </c>
      <c r="F5" s="11" t="inlineStr">
        <is>
          <t>Chef Entretien</t>
        </is>
      </c>
      <c r="G5" s="11" t="inlineStr">
        <is>
          <t>Maintenance</t>
        </is>
      </c>
      <c r="H5" s="11" t="inlineStr">
        <is>
          <t>Haute</t>
        </is>
      </c>
      <c r="I5" s="28" t="n">
        <v>45778</v>
      </c>
      <c r="J5" s="28" t="n">
        <v>45869</v>
      </c>
      <c r="K5" s="26" t="n">
        <v>80</v>
      </c>
      <c r="L5" s="17" t="n">
        <v>350000</v>
      </c>
      <c r="M5" s="11" t="inlineStr">
        <is>
          <t>En cours</t>
        </is>
      </c>
    </row>
    <row r="6" ht="22" customHeight="1">
      <c r="B6" s="13" t="inlineStr">
        <is>
          <t>AC-SST-002</t>
        </is>
      </c>
      <c r="C6" s="13" t="inlineStr">
        <is>
          <t>AT-005</t>
        </is>
      </c>
      <c r="D6" s="13" t="inlineStr">
        <is>
          <t>Former agents travaux en hauteur</t>
        </is>
      </c>
      <c r="E6" s="13" t="inlineStr">
        <is>
          <t>AT-005</t>
        </is>
      </c>
      <c r="F6" s="13" t="inlineStr">
        <is>
          <t>Chef Securite</t>
        </is>
      </c>
      <c r="G6" s="13" t="inlineStr">
        <is>
          <t>Maintenance</t>
        </is>
      </c>
      <c r="H6" s="13" t="inlineStr">
        <is>
          <t>Haute</t>
        </is>
      </c>
      <c r="I6" s="29" t="n">
        <v>45823</v>
      </c>
      <c r="J6" s="29" t="n">
        <v>45900</v>
      </c>
      <c r="K6" s="27" t="n">
        <v>0</v>
      </c>
      <c r="L6" s="18" t="n">
        <v>150000</v>
      </c>
      <c r="M6" s="13" t="inlineStr">
        <is>
          <t>Planifiee</t>
        </is>
      </c>
    </row>
    <row r="7" ht="22" customHeight="1">
      <c r="B7" s="11" t="inlineStr">
        <is>
          <t>AC-SST-003</t>
        </is>
      </c>
      <c r="C7" s="11" t="inlineStr">
        <is>
          <t>Audit AUD-003</t>
        </is>
      </c>
      <c r="D7" s="11" t="inlineStr">
        <is>
          <t>Remplacer 4 extincteurs perimes</t>
        </is>
      </c>
      <c r="E7" s="11" t="inlineStr">
        <is>
          <t>Incendie</t>
        </is>
      </c>
      <c r="F7" s="11" t="inlineStr">
        <is>
          <t>Chef Securite</t>
        </is>
      </c>
      <c r="G7" s="11" t="inlineStr">
        <is>
          <t>Sécurité</t>
        </is>
      </c>
      <c r="H7" s="11" t="inlineStr">
        <is>
          <t>Haute</t>
        </is>
      </c>
      <c r="I7" s="28" t="n">
        <v>45748</v>
      </c>
      <c r="J7" s="28" t="n">
        <v>45808</v>
      </c>
      <c r="K7" s="26" t="n">
        <v>100</v>
      </c>
      <c r="L7" s="17" t="n">
        <v>120000</v>
      </c>
      <c r="M7" s="11" t="inlineStr">
        <is>
          <t>Terminee</t>
        </is>
      </c>
    </row>
    <row r="8" ht="22" customHeight="1">
      <c r="B8" s="13" t="inlineStr">
        <is>
          <t>AC-SST-004</t>
        </is>
      </c>
      <c r="C8" s="13" t="inlineStr">
        <is>
          <t>Inspection AUD-002</t>
        </is>
      </c>
      <c r="D8" s="13" t="inlineStr">
        <is>
          <t>Commander 2 harnais certifies</t>
        </is>
      </c>
      <c r="E8" s="13" t="inlineStr">
        <is>
          <t>ER-005</t>
        </is>
      </c>
      <c r="F8" s="13" t="inlineStr">
        <is>
          <t>Chef Logistique</t>
        </is>
      </c>
      <c r="G8" s="13" t="inlineStr">
        <is>
          <t>Logistique &amp; Approvisionnement</t>
        </is>
      </c>
      <c r="H8" s="13" t="inlineStr">
        <is>
          <t>Moyenne</t>
        </is>
      </c>
      <c r="I8" s="29" t="n">
        <v>45797</v>
      </c>
      <c r="J8" s="29" t="n">
        <v>45853</v>
      </c>
      <c r="K8" s="27" t="n">
        <v>60</v>
      </c>
      <c r="L8" s="18" t="n">
        <v>200000</v>
      </c>
      <c r="M8" s="13" t="inlineStr">
        <is>
          <t>En cours</t>
        </is>
      </c>
    </row>
    <row r="9" ht="22" customHeight="1">
      <c r="B9" s="11" t="inlineStr">
        <is>
          <t>AC-SST-005</t>
        </is>
      </c>
      <c r="C9" s="11" t="inlineStr">
        <is>
          <t>Fiche PD-003</t>
        </is>
      </c>
      <c r="D9" s="11" t="inlineStr">
        <is>
          <t>Obtenir fiche securite peinture</t>
        </is>
      </c>
      <c r="E9" s="11" t="inlineStr">
        <is>
          <t>Chimique</t>
        </is>
      </c>
      <c r="F9" s="11" t="inlineStr">
        <is>
          <t>Chef Entretien</t>
        </is>
      </c>
      <c r="G9" s="11" t="inlineStr">
        <is>
          <t>Maintenance</t>
        </is>
      </c>
      <c r="H9" s="11" t="inlineStr">
        <is>
          <t>Basse</t>
        </is>
      </c>
      <c r="I9" s="28" t="n">
        <v>45809</v>
      </c>
      <c r="J9" s="28" t="n">
        <v>45869</v>
      </c>
      <c r="K9" s="26" t="n">
        <v>0</v>
      </c>
      <c r="L9" s="17" t="n">
        <v>0</v>
      </c>
      <c r="M9" s="11" t="inlineStr">
        <is>
          <t>En cours</t>
        </is>
      </c>
    </row>
    <row r="10" ht="22" customHeight="1">
      <c r="B10" s="15">
        <f>IF(C10="","AC-SST-"&amp;TEXT(COUNTA($C$5:C10),"000"))</f>
        <v/>
      </c>
      <c r="C10" s="13" t="n"/>
      <c r="D10" s="13" t="n"/>
      <c r="E10" s="13" t="n"/>
      <c r="F10" s="13" t="n"/>
      <c r="G10" s="13" t="n"/>
      <c r="H10" s="13" t="n"/>
      <c r="I10" s="29" t="n"/>
      <c r="J10" s="29" t="n"/>
      <c r="K10" s="27" t="n"/>
      <c r="L10" s="18" t="n"/>
      <c r="M10" s="13" t="n"/>
    </row>
    <row r="11" ht="22" customHeight="1">
      <c r="B11" s="16">
        <f>IF(C11="","AC-SST-"&amp;TEXT(COUNTA($C$5:C11),"000"))</f>
        <v/>
      </c>
      <c r="C11" s="11" t="n"/>
      <c r="D11" s="11" t="n"/>
      <c r="E11" s="11" t="n"/>
      <c r="F11" s="11" t="n"/>
      <c r="G11" s="11" t="n"/>
      <c r="H11" s="11" t="n"/>
      <c r="I11" s="28" t="n"/>
      <c r="J11" s="28" t="n"/>
      <c r="K11" s="26" t="n"/>
      <c r="L11" s="17" t="n"/>
      <c r="M11" s="11" t="n"/>
    </row>
    <row r="12" ht="22" customHeight="1">
      <c r="B12" s="15">
        <f>IF(C12="","AC-SST-"&amp;TEXT(COUNTA($C$5:C12),"000"))</f>
        <v/>
      </c>
      <c r="C12" s="13" t="n"/>
      <c r="D12" s="13" t="n"/>
      <c r="E12" s="13" t="n"/>
      <c r="F12" s="13" t="n"/>
      <c r="G12" s="13" t="n"/>
      <c r="H12" s="13" t="n"/>
      <c r="I12" s="29" t="n"/>
      <c r="J12" s="29" t="n"/>
      <c r="K12" s="27" t="n"/>
      <c r="L12" s="18" t="n"/>
      <c r="M12" s="13" t="n"/>
    </row>
    <row r="13" ht="22" customHeight="1">
      <c r="B13" s="16">
        <f>IF(C13="","AC-SST-"&amp;TEXT(COUNTA($C$5:C13),"000"))</f>
        <v/>
      </c>
      <c r="C13" s="11" t="n"/>
      <c r="D13" s="11" t="n"/>
      <c r="E13" s="11" t="n"/>
      <c r="F13" s="11" t="n"/>
      <c r="G13" s="11" t="n"/>
      <c r="H13" s="11" t="n"/>
      <c r="I13" s="28" t="n"/>
      <c r="J13" s="28" t="n"/>
      <c r="K13" s="26" t="n"/>
      <c r="L13" s="17" t="n"/>
      <c r="M13" s="11" t="n"/>
    </row>
    <row r="14" ht="22" customHeight="1">
      <c r="B14" s="15">
        <f>IF(C14="","AC-SST-"&amp;TEXT(COUNTA($C$5:C14),"000"))</f>
        <v/>
      </c>
      <c r="C14" s="13" t="n"/>
      <c r="D14" s="13" t="n"/>
      <c r="E14" s="13" t="n"/>
      <c r="F14" s="13" t="n"/>
      <c r="G14" s="13" t="n"/>
      <c r="H14" s="13" t="n"/>
      <c r="I14" s="29" t="n"/>
      <c r="J14" s="29" t="n"/>
      <c r="K14" s="27" t="n"/>
      <c r="L14" s="18" t="n"/>
      <c r="M14" s="13" t="n"/>
    </row>
    <row r="15" ht="22" customHeight="1">
      <c r="B15" s="16">
        <f>IF(C15="","AC-SST-"&amp;TEXT(COUNTA($C$5:C15),"000"))</f>
        <v/>
      </c>
      <c r="C15" s="11" t="n"/>
      <c r="D15" s="11" t="n"/>
      <c r="E15" s="11" t="n"/>
      <c r="F15" s="11" t="n"/>
      <c r="G15" s="11" t="n"/>
      <c r="H15" s="11" t="n"/>
      <c r="I15" s="28" t="n"/>
      <c r="J15" s="28" t="n"/>
      <c r="K15" s="26" t="n"/>
      <c r="L15" s="17" t="n"/>
      <c r="M15" s="11" t="n"/>
    </row>
    <row r="16" ht="22" customHeight="1">
      <c r="B16" s="15">
        <f>IF(C16="","AC-SST-"&amp;TEXT(COUNTA($C$5:C16),"000"))</f>
        <v/>
      </c>
      <c r="C16" s="13" t="n"/>
      <c r="D16" s="13" t="n"/>
      <c r="E16" s="13" t="n"/>
      <c r="F16" s="13" t="n"/>
      <c r="G16" s="13" t="n"/>
      <c r="H16" s="13" t="n"/>
      <c r="I16" s="29" t="n"/>
      <c r="J16" s="29" t="n"/>
      <c r="K16" s="27" t="n"/>
      <c r="L16" s="18" t="n"/>
      <c r="M16" s="13" t="n"/>
    </row>
    <row r="17" ht="22" customHeight="1">
      <c r="B17" s="16">
        <f>IF(C17="","AC-SST-"&amp;TEXT(COUNTA($C$5:C17),"000"))</f>
        <v/>
      </c>
      <c r="C17" s="11" t="n"/>
      <c r="D17" s="11" t="n"/>
      <c r="E17" s="11" t="n"/>
      <c r="F17" s="11" t="n"/>
      <c r="G17" s="11" t="n"/>
      <c r="H17" s="11" t="n"/>
      <c r="I17" s="28" t="n"/>
      <c r="J17" s="28" t="n"/>
      <c r="K17" s="26" t="n"/>
      <c r="L17" s="17" t="n"/>
      <c r="M17" s="11" t="n"/>
    </row>
    <row r="18" ht="22" customHeight="1">
      <c r="B18" s="15">
        <f>IF(C18="","AC-SST-"&amp;TEXT(COUNTA($C$5:C18),"000"))</f>
        <v/>
      </c>
      <c r="C18" s="13" t="n"/>
      <c r="D18" s="13" t="n"/>
      <c r="E18" s="13" t="n"/>
      <c r="F18" s="13" t="n"/>
      <c r="G18" s="13" t="n"/>
      <c r="H18" s="13" t="n"/>
      <c r="I18" s="29" t="n"/>
      <c r="J18" s="29" t="n"/>
      <c r="K18" s="27" t="n"/>
      <c r="L18" s="18" t="n"/>
      <c r="M18" s="13" t="n"/>
    </row>
    <row r="19" ht="22" customHeight="1">
      <c r="B19" s="16">
        <f>IF(C19="","AC-SST-"&amp;TEXT(COUNTA($C$5:C19),"000"))</f>
        <v/>
      </c>
      <c r="C19" s="11" t="n"/>
      <c r="D19" s="11" t="n"/>
      <c r="E19" s="11" t="n"/>
      <c r="F19" s="11" t="n"/>
      <c r="G19" s="11" t="n"/>
      <c r="H19" s="11" t="n"/>
      <c r="I19" s="28" t="n"/>
      <c r="J19" s="28" t="n"/>
      <c r="K19" s="26" t="n"/>
      <c r="L19" s="17" t="n"/>
      <c r="M19" s="11" t="n"/>
    </row>
    <row r="20" ht="22" customHeight="1">
      <c r="B20" s="15">
        <f>IF(C20="","AC-SST-"&amp;TEXT(COUNTA($C$5:C20),"000"))</f>
        <v/>
      </c>
      <c r="C20" s="13" t="n"/>
      <c r="D20" s="13" t="n"/>
      <c r="E20" s="13" t="n"/>
      <c r="F20" s="13" t="n"/>
      <c r="G20" s="13" t="n"/>
      <c r="H20" s="13" t="n"/>
      <c r="I20" s="29" t="n"/>
      <c r="J20" s="29" t="n"/>
      <c r="K20" s="27" t="n"/>
      <c r="L20" s="18" t="n"/>
      <c r="M20" s="13" t="n"/>
    </row>
    <row r="21" ht="22" customHeight="1">
      <c r="B21" s="16">
        <f>IF(C21="","AC-SST-"&amp;TEXT(COUNTA($C$5:C21),"000"))</f>
        <v/>
      </c>
      <c r="C21" s="11" t="n"/>
      <c r="D21" s="11" t="n"/>
      <c r="E21" s="11" t="n"/>
      <c r="F21" s="11" t="n"/>
      <c r="G21" s="11" t="n"/>
      <c r="H21" s="11" t="n"/>
      <c r="I21" s="28" t="n"/>
      <c r="J21" s="28" t="n"/>
      <c r="K21" s="26" t="n"/>
      <c r="L21" s="17" t="n"/>
      <c r="M21" s="11" t="n"/>
    </row>
    <row r="22" ht="22" customHeight="1">
      <c r="B22" s="15">
        <f>IF(C22="","AC-SST-"&amp;TEXT(COUNTA($C$5:C22),"000"))</f>
        <v/>
      </c>
      <c r="C22" s="13" t="n"/>
      <c r="D22" s="13" t="n"/>
      <c r="E22" s="13" t="n"/>
      <c r="F22" s="13" t="n"/>
      <c r="G22" s="13" t="n"/>
      <c r="H22" s="13" t="n"/>
      <c r="I22" s="29" t="n"/>
      <c r="J22" s="29" t="n"/>
      <c r="K22" s="27" t="n"/>
      <c r="L22" s="18" t="n"/>
      <c r="M22" s="13" t="n"/>
    </row>
    <row r="23" ht="22" customHeight="1">
      <c r="B23" s="16">
        <f>IF(C23="","AC-SST-"&amp;TEXT(COUNTA($C$5:C23),"000"))</f>
        <v/>
      </c>
      <c r="C23" s="11" t="n"/>
      <c r="D23" s="11" t="n"/>
      <c r="E23" s="11" t="n"/>
      <c r="F23" s="11" t="n"/>
      <c r="G23" s="11" t="n"/>
      <c r="H23" s="11" t="n"/>
      <c r="I23" s="28" t="n"/>
      <c r="J23" s="28" t="n"/>
      <c r="K23" s="26" t="n"/>
      <c r="L23" s="17" t="n"/>
      <c r="M23" s="11" t="n"/>
    </row>
    <row r="24" ht="22" customHeight="1">
      <c r="B24" s="15">
        <f>IF(C24="","AC-SST-"&amp;TEXT(COUNTA($C$5:C24),"000"))</f>
        <v/>
      </c>
      <c r="C24" s="13" t="n"/>
      <c r="D24" s="13" t="n"/>
      <c r="E24" s="13" t="n"/>
      <c r="F24" s="13" t="n"/>
      <c r="G24" s="13" t="n"/>
      <c r="H24" s="13" t="n"/>
      <c r="I24" s="29" t="n"/>
      <c r="J24" s="29" t="n"/>
      <c r="K24" s="27" t="n"/>
      <c r="L24" s="18" t="n"/>
      <c r="M24" s="13" t="n"/>
    </row>
    <row r="25" ht="22" customHeight="1">
      <c r="B25" s="16">
        <f>IF(C25="","AC-SST-"&amp;TEXT(COUNTA($C$5:C25),"000"))</f>
        <v/>
      </c>
      <c r="C25" s="11" t="n"/>
      <c r="D25" s="11" t="n"/>
      <c r="E25" s="11" t="n"/>
      <c r="F25" s="11" t="n"/>
      <c r="G25" s="11" t="n"/>
      <c r="H25" s="11" t="n"/>
      <c r="I25" s="28" t="n"/>
      <c r="J25" s="28" t="n"/>
      <c r="K25" s="26" t="n"/>
      <c r="L25" s="17" t="n"/>
      <c r="M25" s="11" t="n"/>
    </row>
    <row r="26" ht="22" customHeight="1">
      <c r="B26" s="15">
        <f>IF(C26="","AC-SST-"&amp;TEXT(COUNTA($C$5:C26),"000"))</f>
        <v/>
      </c>
      <c r="C26" s="13" t="n"/>
      <c r="D26" s="13" t="n"/>
      <c r="E26" s="13" t="n"/>
      <c r="F26" s="13" t="n"/>
      <c r="G26" s="13" t="n"/>
      <c r="H26" s="13" t="n"/>
      <c r="I26" s="29" t="n"/>
      <c r="J26" s="29" t="n"/>
      <c r="K26" s="27" t="n"/>
      <c r="L26" s="18" t="n"/>
      <c r="M26" s="13" t="n"/>
    </row>
    <row r="27" ht="22" customHeight="1">
      <c r="B27" s="16">
        <f>IF(C27="","AC-SST-"&amp;TEXT(COUNTA($C$5:C27),"000"))</f>
        <v/>
      </c>
      <c r="C27" s="11" t="n"/>
      <c r="D27" s="11" t="n"/>
      <c r="E27" s="11" t="n"/>
      <c r="F27" s="11" t="n"/>
      <c r="G27" s="11" t="n"/>
      <c r="H27" s="11" t="n"/>
      <c r="I27" s="28" t="n"/>
      <c r="J27" s="28" t="n"/>
      <c r="K27" s="26" t="n"/>
      <c r="L27" s="17" t="n"/>
      <c r="M27" s="11" t="n"/>
    </row>
    <row r="28" ht="22" customHeight="1">
      <c r="B28" s="15">
        <f>IF(C28="","AC-SST-"&amp;TEXT(COUNTA($C$5:C28),"000"))</f>
        <v/>
      </c>
      <c r="C28" s="13" t="n"/>
      <c r="D28" s="13" t="n"/>
      <c r="E28" s="13" t="n"/>
      <c r="F28" s="13" t="n"/>
      <c r="G28" s="13" t="n"/>
      <c r="H28" s="13" t="n"/>
      <c r="I28" s="29" t="n"/>
      <c r="J28" s="29" t="n"/>
      <c r="K28" s="27" t="n"/>
      <c r="L28" s="18" t="n"/>
      <c r="M28" s="13" t="n"/>
    </row>
    <row r="29" ht="22" customHeight="1">
      <c r="B29" s="16">
        <f>IF(C29="","AC-SST-"&amp;TEXT(COUNTA($C$5:C29),"000"))</f>
        <v/>
      </c>
      <c r="C29" s="11" t="n"/>
      <c r="D29" s="11" t="n"/>
      <c r="E29" s="11" t="n"/>
      <c r="F29" s="11" t="n"/>
      <c r="G29" s="11" t="n"/>
      <c r="H29" s="11" t="n"/>
      <c r="I29" s="28" t="n"/>
      <c r="J29" s="28" t="n"/>
      <c r="K29" s="26" t="n"/>
      <c r="L29" s="17" t="n"/>
      <c r="M29" s="11" t="n"/>
    </row>
    <row r="30" ht="22" customHeight="1">
      <c r="B30" s="15">
        <f>IF(C30="","AC-SST-"&amp;TEXT(COUNTA($C$5:C30),"000"))</f>
        <v/>
      </c>
      <c r="C30" s="13" t="n"/>
      <c r="D30" s="13" t="n"/>
      <c r="E30" s="13" t="n"/>
      <c r="F30" s="13" t="n"/>
      <c r="G30" s="13" t="n"/>
      <c r="H30" s="13" t="n"/>
      <c r="I30" s="29" t="n"/>
      <c r="J30" s="29" t="n"/>
      <c r="K30" s="27" t="n"/>
      <c r="L30" s="18" t="n"/>
      <c r="M30" s="13" t="n"/>
    </row>
    <row r="31" ht="22" customHeight="1">
      <c r="B31" s="16">
        <f>IF(C31="","AC-SST-"&amp;TEXT(COUNTA($C$5:C31),"000"))</f>
        <v/>
      </c>
      <c r="C31" s="11" t="n"/>
      <c r="D31" s="11" t="n"/>
      <c r="E31" s="11" t="n"/>
      <c r="F31" s="11" t="n"/>
      <c r="G31" s="11" t="n"/>
      <c r="H31" s="11" t="n"/>
      <c r="I31" s="28" t="n"/>
      <c r="J31" s="28" t="n"/>
      <c r="K31" s="26" t="n"/>
      <c r="L31" s="17" t="n"/>
      <c r="M31" s="11" t="n"/>
    </row>
    <row r="32" ht="22" customHeight="1">
      <c r="B32" s="15">
        <f>IF(C32="","AC-SST-"&amp;TEXT(COUNTA($C$5:C32),"000"))</f>
        <v/>
      </c>
      <c r="C32" s="13" t="n"/>
      <c r="D32" s="13" t="n"/>
      <c r="E32" s="13" t="n"/>
      <c r="F32" s="13" t="n"/>
      <c r="G32" s="13" t="n"/>
      <c r="H32" s="13" t="n"/>
      <c r="I32" s="29" t="n"/>
      <c r="J32" s="29" t="n"/>
      <c r="K32" s="27" t="n"/>
      <c r="L32" s="18" t="n"/>
      <c r="M32" s="13" t="n"/>
    </row>
    <row r="33" ht="22" customHeight="1">
      <c r="B33" s="16">
        <f>IF(C33="","AC-SST-"&amp;TEXT(COUNTA($C$5:C33),"000"))</f>
        <v/>
      </c>
      <c r="C33" s="11" t="n"/>
      <c r="D33" s="11" t="n"/>
      <c r="E33" s="11" t="n"/>
      <c r="F33" s="11" t="n"/>
      <c r="G33" s="11" t="n"/>
      <c r="H33" s="11" t="n"/>
      <c r="I33" s="28" t="n"/>
      <c r="J33" s="28" t="n"/>
      <c r="K33" s="26" t="n"/>
      <c r="L33" s="17" t="n"/>
      <c r="M33" s="11" t="n"/>
    </row>
    <row r="34" ht="22" customHeight="1">
      <c r="B34" s="15">
        <f>IF(C34="","AC-SST-"&amp;TEXT(COUNTA($C$5:C34),"000"))</f>
        <v/>
      </c>
      <c r="C34" s="13" t="n"/>
      <c r="D34" s="13" t="n"/>
      <c r="E34" s="13" t="n"/>
      <c r="F34" s="13" t="n"/>
      <c r="G34" s="13" t="n"/>
      <c r="H34" s="13" t="n"/>
      <c r="I34" s="29" t="n"/>
      <c r="J34" s="29" t="n"/>
      <c r="K34" s="27" t="n"/>
      <c r="L34" s="18" t="n"/>
      <c r="M34" s="13" t="n"/>
    </row>
    <row r="35" ht="22" customHeight="1">
      <c r="B35" s="16">
        <f>IF(C35="","AC-SST-"&amp;TEXT(COUNTA($C$5:C35),"000"))</f>
        <v/>
      </c>
      <c r="C35" s="11" t="n"/>
      <c r="D35" s="11" t="n"/>
      <c r="E35" s="11" t="n"/>
      <c r="F35" s="11" t="n"/>
      <c r="G35" s="11" t="n"/>
      <c r="H35" s="11" t="n"/>
      <c r="I35" s="28" t="n"/>
      <c r="J35" s="28" t="n"/>
      <c r="K35" s="26" t="n"/>
      <c r="L35" s="17" t="n"/>
      <c r="M35" s="11" t="n"/>
    </row>
    <row r="36" ht="22" customHeight="1">
      <c r="B36" s="15">
        <f>IF(C36="","AC-SST-"&amp;TEXT(COUNTA($C$5:C36),"000"))</f>
        <v/>
      </c>
      <c r="C36" s="13" t="n"/>
      <c r="D36" s="13" t="n"/>
      <c r="E36" s="13" t="n"/>
      <c r="F36" s="13" t="n"/>
      <c r="G36" s="13" t="n"/>
      <c r="H36" s="13" t="n"/>
      <c r="I36" s="29" t="n"/>
      <c r="J36" s="29" t="n"/>
      <c r="K36" s="27" t="n"/>
      <c r="L36" s="18" t="n"/>
      <c r="M36" s="13" t="n"/>
    </row>
    <row r="37" ht="22" customHeight="1">
      <c r="B37" s="16">
        <f>IF(C37="","AC-SST-"&amp;TEXT(COUNTA($C$5:C37),"000"))</f>
        <v/>
      </c>
      <c r="C37" s="11" t="n"/>
      <c r="D37" s="11" t="n"/>
      <c r="E37" s="11" t="n"/>
      <c r="F37" s="11" t="n"/>
      <c r="G37" s="11" t="n"/>
      <c r="H37" s="11" t="n"/>
      <c r="I37" s="28" t="n"/>
      <c r="J37" s="28" t="n"/>
      <c r="K37" s="26" t="n"/>
      <c r="L37" s="17" t="n"/>
      <c r="M37" s="11" t="n"/>
    </row>
    <row r="38" ht="22" customHeight="1">
      <c r="B38" s="15">
        <f>IF(C38="","AC-SST-"&amp;TEXT(COUNTA($C$5:C38),"000"))</f>
        <v/>
      </c>
      <c r="C38" s="13" t="n"/>
      <c r="D38" s="13" t="n"/>
      <c r="E38" s="13" t="n"/>
      <c r="F38" s="13" t="n"/>
      <c r="G38" s="13" t="n"/>
      <c r="H38" s="13" t="n"/>
      <c r="I38" s="29" t="n"/>
      <c r="J38" s="29" t="n"/>
      <c r="K38" s="27" t="n"/>
      <c r="L38" s="18" t="n"/>
      <c r="M38" s="13" t="n"/>
    </row>
    <row r="39" ht="22" customHeight="1">
      <c r="B39" s="16">
        <f>IF(C39="","AC-SST-"&amp;TEXT(COUNTA($C$5:C39),"000"))</f>
        <v/>
      </c>
      <c r="C39" s="11" t="n"/>
      <c r="D39" s="11" t="n"/>
      <c r="E39" s="11" t="n"/>
      <c r="F39" s="11" t="n"/>
      <c r="G39" s="11" t="n"/>
      <c r="H39" s="11" t="n"/>
      <c r="I39" s="28" t="n"/>
      <c r="J39" s="28" t="n"/>
      <c r="K39" s="26" t="n"/>
      <c r="L39" s="17" t="n"/>
      <c r="M39" s="11" t="n"/>
    </row>
    <row r="40" ht="22" customHeight="1">
      <c r="B40" s="15">
        <f>IF(C40="","AC-SST-"&amp;TEXT(COUNTA($C$5:C40),"000"))</f>
        <v/>
      </c>
      <c r="C40" s="13" t="n"/>
      <c r="D40" s="13" t="n"/>
      <c r="E40" s="13" t="n"/>
      <c r="F40" s="13" t="n"/>
      <c r="G40" s="13" t="n"/>
      <c r="H40" s="13" t="n"/>
      <c r="I40" s="29" t="n"/>
      <c r="J40" s="29" t="n"/>
      <c r="K40" s="27" t="n"/>
      <c r="L40" s="18" t="n"/>
      <c r="M40" s="13" t="n"/>
    </row>
    <row r="41" ht="22" customHeight="1">
      <c r="B41" s="16">
        <f>IF(C41="","AC-SST-"&amp;TEXT(COUNTA($C$5:C41),"000"))</f>
        <v/>
      </c>
      <c r="C41" s="11" t="n"/>
      <c r="D41" s="11" t="n"/>
      <c r="E41" s="11" t="n"/>
      <c r="F41" s="11" t="n"/>
      <c r="G41" s="11" t="n"/>
      <c r="H41" s="11" t="n"/>
      <c r="I41" s="28" t="n"/>
      <c r="J41" s="28" t="n"/>
      <c r="K41" s="26" t="n"/>
      <c r="L41" s="17" t="n"/>
      <c r="M41" s="11" t="n"/>
    </row>
    <row r="42" ht="22" customHeight="1">
      <c r="B42" s="15">
        <f>IF(C42="","AC-SST-"&amp;TEXT(COUNTA($C$5:C42),"000"))</f>
        <v/>
      </c>
      <c r="C42" s="13" t="n"/>
      <c r="D42" s="13" t="n"/>
      <c r="E42" s="13" t="n"/>
      <c r="F42" s="13" t="n"/>
      <c r="G42" s="13" t="n"/>
      <c r="H42" s="13" t="n"/>
      <c r="I42" s="29" t="n"/>
      <c r="J42" s="29" t="n"/>
      <c r="K42" s="27" t="n"/>
      <c r="L42" s="18" t="n"/>
      <c r="M42" s="13" t="n"/>
    </row>
    <row r="43" ht="22" customHeight="1">
      <c r="B43" s="16">
        <f>IF(C43="","AC-SST-"&amp;TEXT(COUNTA($C$5:C43),"000"))</f>
        <v/>
      </c>
      <c r="C43" s="11" t="n"/>
      <c r="D43" s="11" t="n"/>
      <c r="E43" s="11" t="n"/>
      <c r="F43" s="11" t="n"/>
      <c r="G43" s="11" t="n"/>
      <c r="H43" s="11" t="n"/>
      <c r="I43" s="28" t="n"/>
      <c r="J43" s="28" t="n"/>
      <c r="K43" s="26" t="n"/>
      <c r="L43" s="17" t="n"/>
      <c r="M43" s="11" t="n"/>
    </row>
    <row r="44" ht="22" customHeight="1">
      <c r="B44" s="15">
        <f>IF(C44="","AC-SST-"&amp;TEXT(COUNTA($C$5:C44),"000"))</f>
        <v/>
      </c>
      <c r="C44" s="13" t="n"/>
      <c r="D44" s="13" t="n"/>
      <c r="E44" s="13" t="n"/>
      <c r="F44" s="13" t="n"/>
      <c r="G44" s="13" t="n"/>
      <c r="H44" s="13" t="n"/>
      <c r="I44" s="29" t="n"/>
      <c r="J44" s="29" t="n"/>
      <c r="K44" s="27" t="n"/>
      <c r="L44" s="18" t="n"/>
      <c r="M44" s="13" t="n"/>
    </row>
    <row r="45" ht="22" customHeight="1">
      <c r="B45" s="16">
        <f>IF(C45="","AC-SST-"&amp;TEXT(COUNTA($C$5:C45),"000"))</f>
        <v/>
      </c>
      <c r="C45" s="11" t="n"/>
      <c r="D45" s="11" t="n"/>
      <c r="E45" s="11" t="n"/>
      <c r="F45" s="11" t="n"/>
      <c r="G45" s="11" t="n"/>
      <c r="H45" s="11" t="n"/>
      <c r="I45" s="28" t="n"/>
      <c r="J45" s="28" t="n"/>
      <c r="K45" s="26" t="n"/>
      <c r="L45" s="17" t="n"/>
      <c r="M45" s="11" t="n"/>
    </row>
    <row r="46" ht="22" customHeight="1">
      <c r="B46" s="15">
        <f>IF(C46="","AC-SST-"&amp;TEXT(COUNTA($C$5:C46),"000"))</f>
        <v/>
      </c>
      <c r="C46" s="13" t="n"/>
      <c r="D46" s="13" t="n"/>
      <c r="E46" s="13" t="n"/>
      <c r="F46" s="13" t="n"/>
      <c r="G46" s="13" t="n"/>
      <c r="H46" s="13" t="n"/>
      <c r="I46" s="29" t="n"/>
      <c r="J46" s="29" t="n"/>
      <c r="K46" s="27" t="n"/>
      <c r="L46" s="18" t="n"/>
      <c r="M46" s="13" t="n"/>
    </row>
    <row r="47" ht="22" customHeight="1">
      <c r="B47" s="16">
        <f>IF(C47="","AC-SST-"&amp;TEXT(COUNTA($C$5:C47),"000"))</f>
        <v/>
      </c>
      <c r="C47" s="11" t="n"/>
      <c r="D47" s="11" t="n"/>
      <c r="E47" s="11" t="n"/>
      <c r="F47" s="11" t="n"/>
      <c r="G47" s="11" t="n"/>
      <c r="H47" s="11" t="n"/>
      <c r="I47" s="28" t="n"/>
      <c r="J47" s="28" t="n"/>
      <c r="K47" s="26" t="n"/>
      <c r="L47" s="17" t="n"/>
      <c r="M47" s="11" t="n"/>
    </row>
    <row r="48" ht="22" customHeight="1">
      <c r="B48" s="15">
        <f>IF(C48="","AC-SST-"&amp;TEXT(COUNTA($C$5:C48),"000"))</f>
        <v/>
      </c>
      <c r="C48" s="13" t="n"/>
      <c r="D48" s="13" t="n"/>
      <c r="E48" s="13" t="n"/>
      <c r="F48" s="13" t="n"/>
      <c r="G48" s="13" t="n"/>
      <c r="H48" s="13" t="n"/>
      <c r="I48" s="29" t="n"/>
      <c r="J48" s="29" t="n"/>
      <c r="K48" s="27" t="n"/>
      <c r="L48" s="18" t="n"/>
      <c r="M48" s="13" t="n"/>
    </row>
    <row r="49" ht="22" customHeight="1">
      <c r="B49" s="16">
        <f>IF(C49="","AC-SST-"&amp;TEXT(COUNTA($C$5:C49),"000"))</f>
        <v/>
      </c>
      <c r="C49" s="11" t="n"/>
      <c r="D49" s="11" t="n"/>
      <c r="E49" s="11" t="n"/>
      <c r="F49" s="11" t="n"/>
      <c r="G49" s="11" t="n"/>
      <c r="H49" s="11" t="n"/>
      <c r="I49" s="28" t="n"/>
      <c r="J49" s="28" t="n"/>
      <c r="K49" s="26" t="n"/>
      <c r="L49" s="17" t="n"/>
      <c r="M49" s="11" t="n"/>
    </row>
    <row r="50" ht="22" customHeight="1">
      <c r="B50" s="15">
        <f>IF(C50="","AC-SST-"&amp;TEXT(COUNTA($C$5:C50),"000"))</f>
        <v/>
      </c>
      <c r="C50" s="13" t="n"/>
      <c r="D50" s="13" t="n"/>
      <c r="E50" s="13" t="n"/>
      <c r="F50" s="13" t="n"/>
      <c r="G50" s="13" t="n"/>
      <c r="H50" s="13" t="n"/>
      <c r="I50" s="29" t="n"/>
      <c r="J50" s="29" t="n"/>
      <c r="K50" s="27" t="n"/>
      <c r="L50" s="18" t="n"/>
      <c r="M50" s="13" t="n"/>
    </row>
    <row r="51" ht="22" customHeight="1">
      <c r="B51" s="16">
        <f>IF(C51="","AC-SST-"&amp;TEXT(COUNTA($C$5:C51),"000"))</f>
        <v/>
      </c>
      <c r="C51" s="11" t="n"/>
      <c r="D51" s="11" t="n"/>
      <c r="E51" s="11" t="n"/>
      <c r="F51" s="11" t="n"/>
      <c r="G51" s="11" t="n"/>
      <c r="H51" s="11" t="n"/>
      <c r="I51" s="28" t="n"/>
      <c r="J51" s="28" t="n"/>
      <c r="K51" s="26" t="n"/>
      <c r="L51" s="17" t="n"/>
      <c r="M51" s="11" t="n"/>
    </row>
    <row r="52" ht="22" customHeight="1">
      <c r="B52" s="15">
        <f>IF(C52="","AC-SST-"&amp;TEXT(COUNTA($C$5:C52),"000"))</f>
        <v/>
      </c>
      <c r="C52" s="13" t="n"/>
      <c r="D52" s="13" t="n"/>
      <c r="E52" s="13" t="n"/>
      <c r="F52" s="13" t="n"/>
      <c r="G52" s="13" t="n"/>
      <c r="H52" s="13" t="n"/>
      <c r="I52" s="29" t="n"/>
      <c r="J52" s="29" t="n"/>
      <c r="K52" s="27" t="n"/>
      <c r="L52" s="18" t="n"/>
      <c r="M52" s="13" t="n"/>
    </row>
    <row r="53" ht="22" customHeight="1">
      <c r="B53" s="16">
        <f>IF(C53="","AC-SST-"&amp;TEXT(COUNTA($C$5:C53),"000"))</f>
        <v/>
      </c>
      <c r="C53" s="11" t="n"/>
      <c r="D53" s="11" t="n"/>
      <c r="E53" s="11" t="n"/>
      <c r="F53" s="11" t="n"/>
      <c r="G53" s="11" t="n"/>
      <c r="H53" s="11" t="n"/>
      <c r="I53" s="28" t="n"/>
      <c r="J53" s="28" t="n"/>
      <c r="K53" s="26" t="n"/>
      <c r="L53" s="17" t="n"/>
      <c r="M53" s="11" t="n"/>
    </row>
    <row r="54" ht="22" customHeight="1">
      <c r="B54" s="15">
        <f>IF(C54="","AC-SST-"&amp;TEXT(COUNTA($C$5:C54),"000"))</f>
        <v/>
      </c>
      <c r="C54" s="13" t="n"/>
      <c r="D54" s="13" t="n"/>
      <c r="E54" s="13" t="n"/>
      <c r="F54" s="13" t="n"/>
      <c r="G54" s="13" t="n"/>
      <c r="H54" s="13" t="n"/>
      <c r="I54" s="29" t="n"/>
      <c r="J54" s="29" t="n"/>
      <c r="K54" s="27" t="n"/>
      <c r="L54" s="18" t="n"/>
      <c r="M54" s="13" t="n"/>
    </row>
    <row r="55" ht="22" customHeight="1">
      <c r="B55" s="16">
        <f>IF(C55="","AC-SST-"&amp;TEXT(COUNTA($C$5:C55),"000"))</f>
        <v/>
      </c>
      <c r="C55" s="11" t="n"/>
      <c r="D55" s="11" t="n"/>
      <c r="E55" s="11" t="n"/>
      <c r="F55" s="11" t="n"/>
      <c r="G55" s="11" t="n"/>
      <c r="H55" s="11" t="n"/>
      <c r="I55" s="28" t="n"/>
      <c r="J55" s="28" t="n"/>
      <c r="K55" s="26" t="n"/>
      <c r="L55" s="17" t="n"/>
      <c r="M55" s="11" t="n"/>
    </row>
    <row r="56" ht="22" customHeight="1">
      <c r="B56" s="15">
        <f>IF(C56="","AC-SST-"&amp;TEXT(COUNTA($C$5:C56),"000"))</f>
        <v/>
      </c>
      <c r="C56" s="13" t="n"/>
      <c r="D56" s="13" t="n"/>
      <c r="E56" s="13" t="n"/>
      <c r="F56" s="13" t="n"/>
      <c r="G56" s="13" t="n"/>
      <c r="H56" s="13" t="n"/>
      <c r="I56" s="29" t="n"/>
      <c r="J56" s="29" t="n"/>
      <c r="K56" s="27" t="n"/>
      <c r="L56" s="18" t="n"/>
      <c r="M56" s="13" t="n"/>
    </row>
    <row r="57" ht="22" customHeight="1">
      <c r="B57" s="16">
        <f>IF(C57="","AC-SST-"&amp;TEXT(COUNTA($C$5:C57),"000"))</f>
        <v/>
      </c>
      <c r="C57" s="11" t="n"/>
      <c r="D57" s="11" t="n"/>
      <c r="E57" s="11" t="n"/>
      <c r="F57" s="11" t="n"/>
      <c r="G57" s="11" t="n"/>
      <c r="H57" s="11" t="n"/>
      <c r="I57" s="28" t="n"/>
      <c r="J57" s="28" t="n"/>
      <c r="K57" s="26" t="n"/>
      <c r="L57" s="17" t="n"/>
      <c r="M57" s="11" t="n"/>
    </row>
    <row r="58" ht="22" customHeight="1">
      <c r="B58" s="15">
        <f>IF(C58="","AC-SST-"&amp;TEXT(COUNTA($C$5:C58),"000"))</f>
        <v/>
      </c>
      <c r="C58" s="13" t="n"/>
      <c r="D58" s="13" t="n"/>
      <c r="E58" s="13" t="n"/>
      <c r="F58" s="13" t="n"/>
      <c r="G58" s="13" t="n"/>
      <c r="H58" s="13" t="n"/>
      <c r="I58" s="29" t="n"/>
      <c r="J58" s="29" t="n"/>
      <c r="K58" s="27" t="n"/>
      <c r="L58" s="18" t="n"/>
      <c r="M58" s="13" t="n"/>
    </row>
    <row r="59" ht="22" customHeight="1">
      <c r="B59" s="16">
        <f>IF(C59="","AC-SST-"&amp;TEXT(COUNTA($C$5:C59),"000"))</f>
        <v/>
      </c>
      <c r="C59" s="11" t="n"/>
      <c r="D59" s="11" t="n"/>
      <c r="E59" s="11" t="n"/>
      <c r="F59" s="11" t="n"/>
      <c r="G59" s="11" t="n"/>
      <c r="H59" s="11" t="n"/>
      <c r="I59" s="28" t="n"/>
      <c r="J59" s="28" t="n"/>
      <c r="K59" s="26" t="n"/>
      <c r="L59" s="17" t="n"/>
      <c r="M59" s="11" t="n"/>
    </row>
    <row r="60" ht="22" customHeight="1">
      <c r="B60" s="15">
        <f>IF(C60="","AC-SST-"&amp;TEXT(COUNTA($C$5:C60),"000"))</f>
        <v/>
      </c>
      <c r="C60" s="13" t="n"/>
      <c r="D60" s="13" t="n"/>
      <c r="E60" s="13" t="n"/>
      <c r="F60" s="13" t="n"/>
      <c r="G60" s="13" t="n"/>
      <c r="H60" s="13" t="n"/>
      <c r="I60" s="29" t="n"/>
      <c r="J60" s="29" t="n"/>
      <c r="K60" s="27" t="n"/>
      <c r="L60" s="18" t="n"/>
      <c r="M60" s="13" t="n"/>
    </row>
    <row r="61" ht="22" customHeight="1">
      <c r="B61" s="16">
        <f>IF(C61="","AC-SST-"&amp;TEXT(COUNTA($C$5:C61),"000"))</f>
        <v/>
      </c>
      <c r="C61" s="11" t="n"/>
      <c r="D61" s="11" t="n"/>
      <c r="E61" s="11" t="n"/>
      <c r="F61" s="11" t="n"/>
      <c r="G61" s="11" t="n"/>
      <c r="H61" s="11" t="n"/>
      <c r="I61" s="28" t="n"/>
      <c r="J61" s="28" t="n"/>
      <c r="K61" s="26" t="n"/>
      <c r="L61" s="17" t="n"/>
      <c r="M61" s="11" t="n"/>
    </row>
    <row r="62" ht="22" customHeight="1">
      <c r="B62" s="15">
        <f>IF(C62="","AC-SST-"&amp;TEXT(COUNTA($C$5:C62),"000"))</f>
        <v/>
      </c>
      <c r="C62" s="13" t="n"/>
      <c r="D62" s="13" t="n"/>
      <c r="E62" s="13" t="n"/>
      <c r="F62" s="13" t="n"/>
      <c r="G62" s="13" t="n"/>
      <c r="H62" s="13" t="n"/>
      <c r="I62" s="29" t="n"/>
      <c r="J62" s="29" t="n"/>
      <c r="K62" s="27" t="n"/>
      <c r="L62" s="18" t="n"/>
      <c r="M62" s="13" t="n"/>
    </row>
    <row r="63" ht="22" customHeight="1">
      <c r="B63" s="16">
        <f>IF(C63="","AC-SST-"&amp;TEXT(COUNTA($C$5:C63),"000"))</f>
        <v/>
      </c>
      <c r="C63" s="11" t="n"/>
      <c r="D63" s="11" t="n"/>
      <c r="E63" s="11" t="n"/>
      <c r="F63" s="11" t="n"/>
      <c r="G63" s="11" t="n"/>
      <c r="H63" s="11" t="n"/>
      <c r="I63" s="28" t="n"/>
      <c r="J63" s="28" t="n"/>
      <c r="K63" s="26" t="n"/>
      <c r="L63" s="17" t="n"/>
      <c r="M63" s="11" t="n"/>
    </row>
    <row r="64" ht="22" customHeight="1">
      <c r="B64" s="15">
        <f>IF(C64="","AC-SST-"&amp;TEXT(COUNTA($C$5:C64),"000"))</f>
        <v/>
      </c>
      <c r="C64" s="13" t="n"/>
      <c r="D64" s="13" t="n"/>
      <c r="E64" s="13" t="n"/>
      <c r="F64" s="13" t="n"/>
      <c r="G64" s="13" t="n"/>
      <c r="H64" s="13" t="n"/>
      <c r="I64" s="29" t="n"/>
      <c r="J64" s="29" t="n"/>
      <c r="K64" s="27" t="n"/>
      <c r="L64" s="18" t="n"/>
      <c r="M64" s="13" t="n"/>
    </row>
    <row r="65" ht="22" customHeight="1">
      <c r="B65" s="16">
        <f>IF(C65="","AC-SST-"&amp;TEXT(COUNTA($C$5:C65),"000"))</f>
        <v/>
      </c>
      <c r="C65" s="11" t="n"/>
      <c r="D65" s="11" t="n"/>
      <c r="E65" s="11" t="n"/>
      <c r="F65" s="11" t="n"/>
      <c r="G65" s="11" t="n"/>
      <c r="H65" s="11" t="n"/>
      <c r="I65" s="28" t="n"/>
      <c r="J65" s="28" t="n"/>
      <c r="K65" s="26" t="n"/>
      <c r="L65" s="17" t="n"/>
      <c r="M65" s="11" t="n"/>
    </row>
    <row r="66" ht="22" customHeight="1">
      <c r="B66" s="15">
        <f>IF(C66="","AC-SST-"&amp;TEXT(COUNTA($C$5:C66),"000"))</f>
        <v/>
      </c>
      <c r="C66" s="13" t="n"/>
      <c r="D66" s="13" t="n"/>
      <c r="E66" s="13" t="n"/>
      <c r="F66" s="13" t="n"/>
      <c r="G66" s="13" t="n"/>
      <c r="H66" s="13" t="n"/>
      <c r="I66" s="29" t="n"/>
      <c r="J66" s="29" t="n"/>
      <c r="K66" s="27" t="n"/>
      <c r="L66" s="18" t="n"/>
      <c r="M66" s="13" t="n"/>
    </row>
    <row r="67" ht="22" customHeight="1">
      <c r="B67" s="16">
        <f>IF(C67="","AC-SST-"&amp;TEXT(COUNTA($C$5:C67),"000"))</f>
        <v/>
      </c>
      <c r="C67" s="11" t="n"/>
      <c r="D67" s="11" t="n"/>
      <c r="E67" s="11" t="n"/>
      <c r="F67" s="11" t="n"/>
      <c r="G67" s="11" t="n"/>
      <c r="H67" s="11" t="n"/>
      <c r="I67" s="28" t="n"/>
      <c r="J67" s="28" t="n"/>
      <c r="K67" s="26" t="n"/>
      <c r="L67" s="17" t="n"/>
      <c r="M67" s="11" t="n"/>
    </row>
    <row r="68" ht="22" customHeight="1">
      <c r="B68" s="15">
        <f>IF(C68="","AC-SST-"&amp;TEXT(COUNTA($C$5:C68),"000"))</f>
        <v/>
      </c>
      <c r="C68" s="13" t="n"/>
      <c r="D68" s="13" t="n"/>
      <c r="E68" s="13" t="n"/>
      <c r="F68" s="13" t="n"/>
      <c r="G68" s="13" t="n"/>
      <c r="H68" s="13" t="n"/>
      <c r="I68" s="29" t="n"/>
      <c r="J68" s="29" t="n"/>
      <c r="K68" s="27" t="n"/>
      <c r="L68" s="18" t="n"/>
      <c r="M68" s="13" t="n"/>
    </row>
    <row r="69" ht="22" customHeight="1">
      <c r="B69" s="16">
        <f>IF(C69="","AC-SST-"&amp;TEXT(COUNTA($C$5:C69),"000"))</f>
        <v/>
      </c>
      <c r="C69" s="11" t="n"/>
      <c r="D69" s="11" t="n"/>
      <c r="E69" s="11" t="n"/>
      <c r="F69" s="11" t="n"/>
      <c r="G69" s="11" t="n"/>
      <c r="H69" s="11" t="n"/>
      <c r="I69" s="28" t="n"/>
      <c r="J69" s="28" t="n"/>
      <c r="K69" s="26" t="n"/>
      <c r="L69" s="17" t="n"/>
      <c r="M69" s="11" t="n"/>
    </row>
    <row r="70" ht="22" customHeight="1">
      <c r="B70" s="15">
        <f>IF(C70="","AC-SST-"&amp;TEXT(COUNTA($C$5:C70),"000"))</f>
        <v/>
      </c>
      <c r="C70" s="13" t="n"/>
      <c r="D70" s="13" t="n"/>
      <c r="E70" s="13" t="n"/>
      <c r="F70" s="13" t="n"/>
      <c r="G70" s="13" t="n"/>
      <c r="H70" s="13" t="n"/>
      <c r="I70" s="29" t="n"/>
      <c r="J70" s="29" t="n"/>
      <c r="K70" s="27" t="n"/>
      <c r="L70" s="18" t="n"/>
      <c r="M70" s="13" t="n"/>
    </row>
    <row r="71" ht="22" customHeight="1">
      <c r="B71" s="16">
        <f>IF(C71="","AC-SST-"&amp;TEXT(COUNTA($C$5:C71),"000"))</f>
        <v/>
      </c>
      <c r="C71" s="11" t="n"/>
      <c r="D71" s="11" t="n"/>
      <c r="E71" s="11" t="n"/>
      <c r="F71" s="11" t="n"/>
      <c r="G71" s="11" t="n"/>
      <c r="H71" s="11" t="n"/>
      <c r="I71" s="28" t="n"/>
      <c r="J71" s="28" t="n"/>
      <c r="K71" s="26" t="n"/>
      <c r="L71" s="17" t="n"/>
      <c r="M71" s="11" t="n"/>
    </row>
    <row r="72" ht="22" customHeight="1">
      <c r="B72" s="15">
        <f>IF(C72="","AC-SST-"&amp;TEXT(COUNTA($C$5:C72),"000"))</f>
        <v/>
      </c>
      <c r="C72" s="13" t="n"/>
      <c r="D72" s="13" t="n"/>
      <c r="E72" s="13" t="n"/>
      <c r="F72" s="13" t="n"/>
      <c r="G72" s="13" t="n"/>
      <c r="H72" s="13" t="n"/>
      <c r="I72" s="29" t="n"/>
      <c r="J72" s="29" t="n"/>
      <c r="K72" s="27" t="n"/>
      <c r="L72" s="18" t="n"/>
      <c r="M72" s="13" t="n"/>
    </row>
    <row r="73" ht="22" customHeight="1">
      <c r="B73" s="16">
        <f>IF(C73="","AC-SST-"&amp;TEXT(COUNTA($C$5:C73),"000"))</f>
        <v/>
      </c>
      <c r="C73" s="11" t="n"/>
      <c r="D73" s="11" t="n"/>
      <c r="E73" s="11" t="n"/>
      <c r="F73" s="11" t="n"/>
      <c r="G73" s="11" t="n"/>
      <c r="H73" s="11" t="n"/>
      <c r="I73" s="28" t="n"/>
      <c r="J73" s="28" t="n"/>
      <c r="K73" s="26" t="n"/>
      <c r="L73" s="17" t="n"/>
      <c r="M73" s="11" t="n"/>
    </row>
    <row r="74" ht="22" customHeight="1">
      <c r="B74" s="15">
        <f>IF(C74="","AC-SST-"&amp;TEXT(COUNTA($C$5:C74),"000"))</f>
        <v/>
      </c>
      <c r="C74" s="13" t="n"/>
      <c r="D74" s="13" t="n"/>
      <c r="E74" s="13" t="n"/>
      <c r="F74" s="13" t="n"/>
      <c r="G74" s="13" t="n"/>
      <c r="H74" s="13" t="n"/>
      <c r="I74" s="29" t="n"/>
      <c r="J74" s="29" t="n"/>
      <c r="K74" s="27" t="n"/>
      <c r="L74" s="18" t="n"/>
      <c r="M74" s="13" t="n"/>
    </row>
    <row r="75" ht="22" customHeight="1">
      <c r="B75" s="16">
        <f>IF(C75="","AC-SST-"&amp;TEXT(COUNTA($C$5:C75),"000"))</f>
        <v/>
      </c>
      <c r="C75" s="11" t="n"/>
      <c r="D75" s="11" t="n"/>
      <c r="E75" s="11" t="n"/>
      <c r="F75" s="11" t="n"/>
      <c r="G75" s="11" t="n"/>
      <c r="H75" s="11" t="n"/>
      <c r="I75" s="28" t="n"/>
      <c r="J75" s="28" t="n"/>
      <c r="K75" s="26" t="n"/>
      <c r="L75" s="17" t="n"/>
      <c r="M75" s="11" t="n"/>
    </row>
    <row r="76" ht="22" customHeight="1">
      <c r="B76" s="15">
        <f>IF(C76="","AC-SST-"&amp;TEXT(COUNTA($C$5:C76),"000"))</f>
        <v/>
      </c>
      <c r="C76" s="13" t="n"/>
      <c r="D76" s="13" t="n"/>
      <c r="E76" s="13" t="n"/>
      <c r="F76" s="13" t="n"/>
      <c r="G76" s="13" t="n"/>
      <c r="H76" s="13" t="n"/>
      <c r="I76" s="29" t="n"/>
      <c r="J76" s="29" t="n"/>
      <c r="K76" s="27" t="n"/>
      <c r="L76" s="18" t="n"/>
      <c r="M76" s="13" t="n"/>
    </row>
    <row r="77" ht="22" customHeight="1">
      <c r="B77" s="16">
        <f>IF(C77="","AC-SST-"&amp;TEXT(COUNTA($C$5:C77),"000"))</f>
        <v/>
      </c>
      <c r="C77" s="11" t="n"/>
      <c r="D77" s="11" t="n"/>
      <c r="E77" s="11" t="n"/>
      <c r="F77" s="11" t="n"/>
      <c r="G77" s="11" t="n"/>
      <c r="H77" s="11" t="n"/>
      <c r="I77" s="28" t="n"/>
      <c r="J77" s="28" t="n"/>
      <c r="K77" s="26" t="n"/>
      <c r="L77" s="17" t="n"/>
      <c r="M77" s="11" t="n"/>
    </row>
    <row r="78" ht="22" customHeight="1">
      <c r="B78" s="15">
        <f>IF(C78="","AC-SST-"&amp;TEXT(COUNTA($C$5:C78),"000"))</f>
        <v/>
      </c>
      <c r="C78" s="13" t="n"/>
      <c r="D78" s="13" t="n"/>
      <c r="E78" s="13" t="n"/>
      <c r="F78" s="13" t="n"/>
      <c r="G78" s="13" t="n"/>
      <c r="H78" s="13" t="n"/>
      <c r="I78" s="29" t="n"/>
      <c r="J78" s="29" t="n"/>
      <c r="K78" s="27" t="n"/>
      <c r="L78" s="18" t="n"/>
      <c r="M78" s="13" t="n"/>
    </row>
    <row r="79" ht="22" customHeight="1">
      <c r="B79" s="16">
        <f>IF(C79="","AC-SST-"&amp;TEXT(COUNTA($C$5:C79),"000"))</f>
        <v/>
      </c>
      <c r="C79" s="11" t="n"/>
      <c r="D79" s="11" t="n"/>
      <c r="E79" s="11" t="n"/>
      <c r="F79" s="11" t="n"/>
      <c r="G79" s="11" t="n"/>
      <c r="H79" s="11" t="n"/>
      <c r="I79" s="28" t="n"/>
      <c r="J79" s="28" t="n"/>
      <c r="K79" s="26" t="n"/>
      <c r="L79" s="17" t="n"/>
      <c r="M79" s="11" t="n"/>
    </row>
    <row r="80" ht="22" customHeight="1">
      <c r="B80" s="15">
        <f>IF(C80="","AC-SST-"&amp;TEXT(COUNTA($C$5:C80),"000"))</f>
        <v/>
      </c>
      <c r="C80" s="13" t="n"/>
      <c r="D80" s="13" t="n"/>
      <c r="E80" s="13" t="n"/>
      <c r="F80" s="13" t="n"/>
      <c r="G80" s="13" t="n"/>
      <c r="H80" s="13" t="n"/>
      <c r="I80" s="29" t="n"/>
      <c r="J80" s="29" t="n"/>
      <c r="K80" s="27" t="n"/>
      <c r="L80" s="18" t="n"/>
      <c r="M80" s="13" t="n"/>
    </row>
    <row r="81" ht="22" customHeight="1">
      <c r="B81" s="16">
        <f>IF(C81="","AC-SST-"&amp;TEXT(COUNTA($C$5:C81),"000"))</f>
        <v/>
      </c>
      <c r="C81" s="11" t="n"/>
      <c r="D81" s="11" t="n"/>
      <c r="E81" s="11" t="n"/>
      <c r="F81" s="11" t="n"/>
      <c r="G81" s="11" t="n"/>
      <c r="H81" s="11" t="n"/>
      <c r="I81" s="28" t="n"/>
      <c r="J81" s="28" t="n"/>
      <c r="K81" s="26" t="n"/>
      <c r="L81" s="17" t="n"/>
      <c r="M81" s="11" t="n"/>
    </row>
    <row r="82" ht="22" customHeight="1">
      <c r="B82" s="15">
        <f>IF(C82="","AC-SST-"&amp;TEXT(COUNTA($C$5:C82),"000"))</f>
        <v/>
      </c>
      <c r="C82" s="13" t="n"/>
      <c r="D82" s="13" t="n"/>
      <c r="E82" s="13" t="n"/>
      <c r="F82" s="13" t="n"/>
      <c r="G82" s="13" t="n"/>
      <c r="H82" s="13" t="n"/>
      <c r="I82" s="29" t="n"/>
      <c r="J82" s="29" t="n"/>
      <c r="K82" s="27" t="n"/>
      <c r="L82" s="18" t="n"/>
      <c r="M82" s="13" t="n"/>
    </row>
    <row r="83" ht="22" customHeight="1">
      <c r="B83" s="16">
        <f>IF(C83="","AC-SST-"&amp;TEXT(COUNTA($C$5:C83),"000"))</f>
        <v/>
      </c>
      <c r="C83" s="11" t="n"/>
      <c r="D83" s="11" t="n"/>
      <c r="E83" s="11" t="n"/>
      <c r="F83" s="11" t="n"/>
      <c r="G83" s="11" t="n"/>
      <c r="H83" s="11" t="n"/>
      <c r="I83" s="28" t="n"/>
      <c r="J83" s="28" t="n"/>
      <c r="K83" s="26" t="n"/>
      <c r="L83" s="17" t="n"/>
      <c r="M83" s="11" t="n"/>
    </row>
    <row r="84" ht="22" customHeight="1">
      <c r="B84" s="15">
        <f>IF(C84="","AC-SST-"&amp;TEXT(COUNTA($C$5:C84),"000"))</f>
        <v/>
      </c>
      <c r="C84" s="13" t="n"/>
      <c r="D84" s="13" t="n"/>
      <c r="E84" s="13" t="n"/>
      <c r="F84" s="13" t="n"/>
      <c r="G84" s="13" t="n"/>
      <c r="H84" s="13" t="n"/>
      <c r="I84" s="29" t="n"/>
      <c r="J84" s="29" t="n"/>
      <c r="K84" s="27" t="n"/>
      <c r="L84" s="18" t="n"/>
      <c r="M84" s="13" t="n"/>
    </row>
    <row r="85" ht="22" customHeight="1">
      <c r="B85" s="16">
        <f>IF(C85="","AC-SST-"&amp;TEXT(COUNTA($C$5:C85),"000"))</f>
        <v/>
      </c>
      <c r="C85" s="11" t="n"/>
      <c r="D85" s="11" t="n"/>
      <c r="E85" s="11" t="n"/>
      <c r="F85" s="11" t="n"/>
      <c r="G85" s="11" t="n"/>
      <c r="H85" s="11" t="n"/>
      <c r="I85" s="28" t="n"/>
      <c r="J85" s="28" t="n"/>
      <c r="K85" s="26" t="n"/>
      <c r="L85" s="17" t="n"/>
      <c r="M85" s="11" t="n"/>
    </row>
    <row r="86" ht="22" customHeight="1">
      <c r="B86" s="15">
        <f>IF(C86="","AC-SST-"&amp;TEXT(COUNTA($C$5:C86),"000"))</f>
        <v/>
      </c>
      <c r="C86" s="13" t="n"/>
      <c r="D86" s="13" t="n"/>
      <c r="E86" s="13" t="n"/>
      <c r="F86" s="13" t="n"/>
      <c r="G86" s="13" t="n"/>
      <c r="H86" s="13" t="n"/>
      <c r="I86" s="29" t="n"/>
      <c r="J86" s="29" t="n"/>
      <c r="K86" s="27" t="n"/>
      <c r="L86" s="18" t="n"/>
      <c r="M86" s="13" t="n"/>
    </row>
    <row r="87" ht="22" customHeight="1">
      <c r="B87" s="16">
        <f>IF(C87="","AC-SST-"&amp;TEXT(COUNTA($C$5:C87),"000"))</f>
        <v/>
      </c>
      <c r="C87" s="11" t="n"/>
      <c r="D87" s="11" t="n"/>
      <c r="E87" s="11" t="n"/>
      <c r="F87" s="11" t="n"/>
      <c r="G87" s="11" t="n"/>
      <c r="H87" s="11" t="n"/>
      <c r="I87" s="28" t="n"/>
      <c r="J87" s="28" t="n"/>
      <c r="K87" s="26" t="n"/>
      <c r="L87" s="17" t="n"/>
      <c r="M87" s="11" t="n"/>
    </row>
    <row r="88" ht="22" customHeight="1">
      <c r="B88" s="15">
        <f>IF(C88="","AC-SST-"&amp;TEXT(COUNTA($C$5:C88),"000"))</f>
        <v/>
      </c>
      <c r="C88" s="13" t="n"/>
      <c r="D88" s="13" t="n"/>
      <c r="E88" s="13" t="n"/>
      <c r="F88" s="13" t="n"/>
      <c r="G88" s="13" t="n"/>
      <c r="H88" s="13" t="n"/>
      <c r="I88" s="29" t="n"/>
      <c r="J88" s="29" t="n"/>
      <c r="K88" s="27" t="n"/>
      <c r="L88" s="18" t="n"/>
      <c r="M88" s="13" t="n"/>
    </row>
    <row r="89" ht="22" customHeight="1">
      <c r="B89" s="16">
        <f>IF(C89="","AC-SST-"&amp;TEXT(COUNTA($C$5:C89),"000"))</f>
        <v/>
      </c>
      <c r="C89" s="11" t="n"/>
      <c r="D89" s="11" t="n"/>
      <c r="E89" s="11" t="n"/>
      <c r="F89" s="11" t="n"/>
      <c r="G89" s="11" t="n"/>
      <c r="H89" s="11" t="n"/>
      <c r="I89" s="28" t="n"/>
      <c r="J89" s="28" t="n"/>
      <c r="K89" s="26" t="n"/>
      <c r="L89" s="17" t="n"/>
      <c r="M89" s="11" t="n"/>
    </row>
    <row r="90" ht="22" customHeight="1">
      <c r="B90" s="15">
        <f>IF(C90="","AC-SST-"&amp;TEXT(COUNTA($C$5:C90),"000"))</f>
        <v/>
      </c>
      <c r="C90" s="13" t="n"/>
      <c r="D90" s="13" t="n"/>
      <c r="E90" s="13" t="n"/>
      <c r="F90" s="13" t="n"/>
      <c r="G90" s="13" t="n"/>
      <c r="H90" s="13" t="n"/>
      <c r="I90" s="29" t="n"/>
      <c r="J90" s="29" t="n"/>
      <c r="K90" s="27" t="n"/>
      <c r="L90" s="18" t="n"/>
      <c r="M90" s="13" t="n"/>
    </row>
    <row r="91" ht="22" customHeight="1">
      <c r="B91" s="16">
        <f>IF(C91="","AC-SST-"&amp;TEXT(COUNTA($C$5:C91),"000"))</f>
        <v/>
      </c>
      <c r="C91" s="11" t="n"/>
      <c r="D91" s="11" t="n"/>
      <c r="E91" s="11" t="n"/>
      <c r="F91" s="11" t="n"/>
      <c r="G91" s="11" t="n"/>
      <c r="H91" s="11" t="n"/>
      <c r="I91" s="28" t="n"/>
      <c r="J91" s="28" t="n"/>
      <c r="K91" s="26" t="n"/>
      <c r="L91" s="17" t="n"/>
      <c r="M91" s="11" t="n"/>
    </row>
    <row r="92" ht="22" customHeight="1">
      <c r="B92" s="15">
        <f>IF(C92="","AC-SST-"&amp;TEXT(COUNTA($C$5:C92),"000"))</f>
        <v/>
      </c>
      <c r="C92" s="13" t="n"/>
      <c r="D92" s="13" t="n"/>
      <c r="E92" s="13" t="n"/>
      <c r="F92" s="13" t="n"/>
      <c r="G92" s="13" t="n"/>
      <c r="H92" s="13" t="n"/>
      <c r="I92" s="29" t="n"/>
      <c r="J92" s="29" t="n"/>
      <c r="K92" s="27" t="n"/>
      <c r="L92" s="18" t="n"/>
      <c r="M92" s="13" t="n"/>
    </row>
    <row r="93" ht="22" customHeight="1">
      <c r="B93" s="16">
        <f>IF(C93="","AC-SST-"&amp;TEXT(COUNTA($C$5:C93),"000"))</f>
        <v/>
      </c>
      <c r="C93" s="11" t="n"/>
      <c r="D93" s="11" t="n"/>
      <c r="E93" s="11" t="n"/>
      <c r="F93" s="11" t="n"/>
      <c r="G93" s="11" t="n"/>
      <c r="H93" s="11" t="n"/>
      <c r="I93" s="28" t="n"/>
      <c r="J93" s="28" t="n"/>
      <c r="K93" s="26" t="n"/>
      <c r="L93" s="17" t="n"/>
      <c r="M93" s="11" t="n"/>
    </row>
    <row r="94" ht="22" customHeight="1">
      <c r="B94" s="15">
        <f>IF(C94="","AC-SST-"&amp;TEXT(COUNTA($C$5:C94),"000"))</f>
        <v/>
      </c>
      <c r="C94" s="13" t="n"/>
      <c r="D94" s="13" t="n"/>
      <c r="E94" s="13" t="n"/>
      <c r="F94" s="13" t="n"/>
      <c r="G94" s="13" t="n"/>
      <c r="H94" s="13" t="n"/>
      <c r="I94" s="29" t="n"/>
      <c r="J94" s="29" t="n"/>
      <c r="K94" s="27" t="n"/>
      <c r="L94" s="18" t="n"/>
      <c r="M94" s="13" t="n"/>
    </row>
    <row r="95" ht="22" customHeight="1">
      <c r="B95" s="16">
        <f>IF(C95="","AC-SST-"&amp;TEXT(COUNTA($C$5:C95),"000"))</f>
        <v/>
      </c>
      <c r="C95" s="11" t="n"/>
      <c r="D95" s="11" t="n"/>
      <c r="E95" s="11" t="n"/>
      <c r="F95" s="11" t="n"/>
      <c r="G95" s="11" t="n"/>
      <c r="H95" s="11" t="n"/>
      <c r="I95" s="28" t="n"/>
      <c r="J95" s="28" t="n"/>
      <c r="K95" s="26" t="n"/>
      <c r="L95" s="17" t="n"/>
      <c r="M95" s="11" t="n"/>
    </row>
    <row r="96" ht="22" customHeight="1">
      <c r="B96" s="15">
        <f>IF(C96="","AC-SST-"&amp;TEXT(COUNTA($C$5:C96),"000"))</f>
        <v/>
      </c>
      <c r="C96" s="13" t="n"/>
      <c r="D96" s="13" t="n"/>
      <c r="E96" s="13" t="n"/>
      <c r="F96" s="13" t="n"/>
      <c r="G96" s="13" t="n"/>
      <c r="H96" s="13" t="n"/>
      <c r="I96" s="29" t="n"/>
      <c r="J96" s="29" t="n"/>
      <c r="K96" s="27" t="n"/>
      <c r="L96" s="18" t="n"/>
      <c r="M96" s="13" t="n"/>
    </row>
    <row r="97" ht="22" customHeight="1">
      <c r="B97" s="16">
        <f>IF(C97="","AC-SST-"&amp;TEXT(COUNTA($C$5:C97),"000"))</f>
        <v/>
      </c>
      <c r="C97" s="11" t="n"/>
      <c r="D97" s="11" t="n"/>
      <c r="E97" s="11" t="n"/>
      <c r="F97" s="11" t="n"/>
      <c r="G97" s="11" t="n"/>
      <c r="H97" s="11" t="n"/>
      <c r="I97" s="28" t="n"/>
      <c r="J97" s="28" t="n"/>
      <c r="K97" s="26" t="n"/>
      <c r="L97" s="17" t="n"/>
      <c r="M97" s="11" t="n"/>
    </row>
    <row r="98" ht="22" customHeight="1">
      <c r="B98" s="15">
        <f>IF(C98="","AC-SST-"&amp;TEXT(COUNTA($C$5:C98),"000"))</f>
        <v/>
      </c>
      <c r="C98" s="13" t="n"/>
      <c r="D98" s="13" t="n"/>
      <c r="E98" s="13" t="n"/>
      <c r="F98" s="13" t="n"/>
      <c r="G98" s="13" t="n"/>
      <c r="H98" s="13" t="n"/>
      <c r="I98" s="29" t="n"/>
      <c r="J98" s="29" t="n"/>
      <c r="K98" s="27" t="n"/>
      <c r="L98" s="18" t="n"/>
      <c r="M98" s="13" t="n"/>
    </row>
    <row r="99" ht="22" customHeight="1">
      <c r="B99" s="16">
        <f>IF(C99="","AC-SST-"&amp;TEXT(COUNTA($C$5:C99),"000"))</f>
        <v/>
      </c>
      <c r="C99" s="11" t="n"/>
      <c r="D99" s="11" t="n"/>
      <c r="E99" s="11" t="n"/>
      <c r="F99" s="11" t="n"/>
      <c r="G99" s="11" t="n"/>
      <c r="H99" s="11" t="n"/>
      <c r="I99" s="28" t="n"/>
      <c r="J99" s="28" t="n"/>
      <c r="K99" s="26" t="n"/>
      <c r="L99" s="17" t="n"/>
      <c r="M99" s="11" t="n"/>
    </row>
    <row r="100" ht="22" customHeight="1">
      <c r="B100" s="15">
        <f>IF(C100="","AC-SST-"&amp;TEXT(COUNTA($C$5:C100),"000"))</f>
        <v/>
      </c>
      <c r="C100" s="13" t="n"/>
      <c r="D100" s="13" t="n"/>
      <c r="E100" s="13" t="n"/>
      <c r="F100" s="13" t="n"/>
      <c r="G100" s="13" t="n"/>
      <c r="H100" s="13" t="n"/>
      <c r="I100" s="29" t="n"/>
      <c r="J100" s="29" t="n"/>
      <c r="K100" s="27" t="n"/>
      <c r="L100" s="18" t="n"/>
      <c r="M100" s="13" t="n"/>
    </row>
    <row r="101" ht="22" customHeight="1">
      <c r="B101" s="16">
        <f>IF(C101="","AC-SST-"&amp;TEXT(COUNTA($C$5:C101),"000"))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28" t="n"/>
      <c r="J101" s="28" t="n"/>
      <c r="K101" s="26" t="n"/>
      <c r="L101" s="17" t="n"/>
      <c r="M101" s="11" t="n"/>
    </row>
    <row r="102" ht="22" customHeight="1">
      <c r="B102" s="15">
        <f>IF(C102="","AC-SST-"&amp;TEXT(COUNTA($C$5:C102),"000"))</f>
        <v/>
      </c>
      <c r="C102" s="13" t="n"/>
      <c r="D102" s="13" t="n"/>
      <c r="E102" s="13" t="n"/>
      <c r="F102" s="13" t="n"/>
      <c r="G102" s="13" t="n"/>
      <c r="H102" s="13" t="n"/>
      <c r="I102" s="29" t="n"/>
      <c r="J102" s="29" t="n"/>
      <c r="K102" s="27" t="n"/>
      <c r="L102" s="18" t="n"/>
      <c r="M102" s="13" t="n"/>
    </row>
    <row r="103" ht="22" customHeight="1">
      <c r="B103" s="16">
        <f>IF(C103="","AC-SST-"&amp;TEXT(COUNTA($C$5:C103),"000"))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28" t="n"/>
      <c r="J103" s="28" t="n"/>
      <c r="K103" s="26" t="n"/>
      <c r="L103" s="17" t="n"/>
      <c r="M103" s="11" t="n"/>
    </row>
    <row r="104" ht="22" customHeight="1">
      <c r="B104" s="15">
        <f>IF(C104="","AC-SST-"&amp;TEXT(COUNTA($C$5:C104),"000"))</f>
        <v/>
      </c>
      <c r="C104" s="13" t="n"/>
      <c r="D104" s="13" t="n"/>
      <c r="E104" s="13" t="n"/>
      <c r="F104" s="13" t="n"/>
      <c r="G104" s="13" t="n"/>
      <c r="H104" s="13" t="n"/>
      <c r="I104" s="29" t="n"/>
      <c r="J104" s="29" t="n"/>
      <c r="K104" s="27" t="n"/>
      <c r="L104" s="18" t="n"/>
      <c r="M104" s="13" t="n"/>
    </row>
    <row r="105" ht="22" customHeight="1">
      <c r="B105" s="16">
        <f>IF(C105="","AC-SST-"&amp;TEXT(COUNTA($C$5:C105),"000"))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28" t="n"/>
      <c r="J105" s="28" t="n"/>
      <c r="K105" s="26" t="n"/>
      <c r="L105" s="17" t="n"/>
      <c r="M105" s="11" t="n"/>
    </row>
    <row r="106" ht="22" customHeight="1">
      <c r="B106" s="15">
        <f>IF(C106="","AC-SST-"&amp;TEXT(COUNTA($C$5:C106),"000"))</f>
        <v/>
      </c>
      <c r="C106" s="13" t="n"/>
      <c r="D106" s="13" t="n"/>
      <c r="E106" s="13" t="n"/>
      <c r="F106" s="13" t="n"/>
      <c r="G106" s="13" t="n"/>
      <c r="H106" s="13" t="n"/>
      <c r="I106" s="29" t="n"/>
      <c r="J106" s="29" t="n"/>
      <c r="K106" s="27" t="n"/>
      <c r="L106" s="18" t="n"/>
      <c r="M106" s="13" t="n"/>
    </row>
    <row r="107" ht="22" customHeight="1">
      <c r="B107" s="16">
        <f>IF(C107="","AC-SST-"&amp;TEXT(COUNTA($C$5:C107),"000"))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28" t="n"/>
      <c r="J107" s="28" t="n"/>
      <c r="K107" s="26" t="n"/>
      <c r="L107" s="17" t="n"/>
      <c r="M107" s="11" t="n"/>
    </row>
    <row r="108" ht="22" customHeight="1">
      <c r="B108" s="15">
        <f>IF(C108="","AC-SST-"&amp;TEXT(COUNTA($C$5:C108),"000"))</f>
        <v/>
      </c>
      <c r="C108" s="13" t="n"/>
      <c r="D108" s="13" t="n"/>
      <c r="E108" s="13" t="n"/>
      <c r="F108" s="13" t="n"/>
      <c r="G108" s="13" t="n"/>
      <c r="H108" s="13" t="n"/>
      <c r="I108" s="29" t="n"/>
      <c r="J108" s="29" t="n"/>
      <c r="K108" s="27" t="n"/>
      <c r="L108" s="18" t="n"/>
      <c r="M108" s="13" t="n"/>
    </row>
    <row r="109" ht="22" customHeight="1">
      <c r="B109" s="16">
        <f>IF(C109="","AC-SST-"&amp;TEXT(COUNTA($C$5:C109),"000"))</f>
        <v/>
      </c>
      <c r="C109" s="11" t="n"/>
      <c r="D109" s="11" t="n"/>
      <c r="E109" s="11" t="n"/>
      <c r="F109" s="11" t="n"/>
      <c r="G109" s="11" t="n"/>
      <c r="H109" s="11" t="n"/>
      <c r="I109" s="28" t="n"/>
      <c r="J109" s="28" t="n"/>
      <c r="K109" s="26" t="n"/>
      <c r="L109" s="17" t="n"/>
      <c r="M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1">
        <f>SUM(L5:L104)</f>
        <v/>
      </c>
      <c r="M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Actions</t>
        </is>
      </c>
      <c r="D114" s="3" t="inlineStr">
        <is>
          <t>Haute priorite</t>
        </is>
      </c>
      <c r="F114" s="3" t="inlineStr">
        <is>
          <t>Terminees</t>
        </is>
      </c>
      <c r="H114" s="3" t="inlineStr">
        <is>
          <t>Cout total (FCFA)</t>
        </is>
      </c>
    </row>
    <row r="115">
      <c r="B115" s="4">
        <f>COUNTIF(B5:B104,"&lt;&gt;")</f>
        <v/>
      </c>
      <c r="D115" s="4">
        <f>COUNTIF(H5:H104,"Haute")</f>
        <v/>
      </c>
      <c r="F115" s="4">
        <f>COUNTIF(M5:M104,"Terminee")</f>
        <v/>
      </c>
      <c r="H115" s="4">
        <f>SUM(L5:L104)</f>
        <v/>
      </c>
    </row>
  </sheetData>
  <mergeCells count="3">
    <mergeCell ref="B3:M3"/>
    <mergeCell ref="B2:M2"/>
    <mergeCell ref="B113:M113"/>
  </mergeCells>
  <conditionalFormatting sqref="M5:M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"Realisee"</formula>
    </cfRule>
    <cfRule type="cellIs" priority="51" operator="equal" dxfId="1">
      <formula>"En stock"</formula>
    </cfRule>
    <cfRule type="cellIs" priority="52" operator="equal" dxfId="1">
      <formula>"Attribue"</formula>
    </cfRule>
    <cfRule type="cellIs" priority="53" operator="equal" dxfId="1">
      <formula>"Mesures en place"</formula>
    </cfRule>
    <cfRule type="cellIs" priority="54" operator="equal" dxfId="1">
      <formula>"Residuel acceptable"</formula>
    </cfRule>
    <cfRule type="cellIs" priority="55" operator="equal" dxfId="2">
      <formula>"En attente"</formula>
    </cfRule>
    <cfRule type="cellIs" priority="56" operator="equal" dxfId="2">
      <formula>"A renouveler"</formula>
    </cfRule>
    <cfRule type="cellIs" priority="57" operator="equal" dxfId="2">
      <formula>"En cours"</formula>
    </cfRule>
    <cfRule type="cellIs" priority="58" operator="equal" dxfId="2">
      <formula>"En traitement"</formula>
    </cfRule>
    <cfRule type="cellIs" priority="59" operator="equal" dxfId="2">
      <formula>"En retard"</formula>
    </cfRule>
    <cfRule type="cellIs" priority="60" operator="equal" dxfId="2">
      <formula>"Suspendu"</formula>
    </cfRule>
    <cfRule type="cellIs" priority="61" operator="equal" dxfId="2">
      <formula>"Planifie"</formula>
    </cfRule>
    <cfRule type="cellIs" priority="62" operator="equal" dxfId="2">
      <formula>"Planifiee"</formula>
    </cfRule>
    <cfRule type="cellIs" priority="63" operator="equal" dxfId="2">
      <formula>"Brouillon"</formula>
    </cfRule>
    <cfRule type="cellIs" priority="64" operator="equal" dxfId="2">
      <formula>"En attente de justification"</formula>
    </cfRule>
    <cfRule type="cellIs" priority="65" operator="equal" dxfId="2">
      <formula>"Tolere"</formula>
    </cfRule>
    <cfRule type="cellIs" priority="66" operator="equal" dxfId="2">
      <formula>"Variable"</formula>
    </cfRule>
    <cfRule type="cellIs" priority="67" operator="equal" dxfId="2">
      <formula>"En elaboration"</formula>
    </cfRule>
    <cfRule type="cellIs" priority="68" operator="equal" dxfId="2">
      <formula>"Provisionne"</formula>
    </cfRule>
    <cfRule type="cellIs" priority="69" operator="equal" dxfId="2">
      <formula>"Consomme partiel"</formula>
    </cfRule>
    <cfRule type="cellIs" priority="70" operator="equal" dxfId="2">
      <formula>"Identifie"</formula>
    </cfRule>
    <cfRule type="cellIs" priority="71" operator="equal" dxfId="2">
      <formula>"Priorise"</formula>
    </cfRule>
    <cfRule type="cellIs" priority="72" operator="equal" dxfId="2">
      <formula>"Intermediaire"</formula>
    </cfRule>
    <cfRule type="cellIs" priority="73" operator="equal" dxfId="2">
      <formula>"Non evalue"</formula>
    </cfRule>
    <cfRule type="cellIs" priority="74" operator="equal" dxfId="2">
      <formula>"En cours de realisation"</formula>
    </cfRule>
    <cfRule type="cellIs" priority="75" operator="equal" dxfId="2">
      <formula>"Non demarre"</formula>
    </cfRule>
    <cfRule type="cellIs" priority="76" operator="equal" dxfId="2">
      <formula>"En attente N+1"</formula>
    </cfRule>
    <cfRule type="cellIs" priority="77" operator="equal" dxfId="2">
      <formula>"Prolongation essai"</formula>
    </cfRule>
    <cfRule type="cellIs" priority="78" operator="equal" dxfId="2">
      <formula>"En attente validation"</formula>
    </cfRule>
    <cfRule type="cellIs" priority="79" operator="equal" dxfId="2">
      <formula>"Bon"</formula>
    </cfRule>
    <cfRule type="cellIs" priority="80" operator="equal" dxfId="2">
      <formula>"D - Moyen"</formula>
    </cfRule>
    <cfRule type="cellIs" priority="81" operator="equal" dxfId="2">
      <formula>"En cours de repres."</formula>
    </cfRule>
    <cfRule type="cellIs" priority="82" operator="equal" dxfId="2">
      <formula>"En negociation"</formula>
    </cfRule>
    <cfRule type="cellIs" priority="83" operator="equal" dxfId="2">
      <formula>"En preparation"</formula>
    </cfRule>
    <cfRule type="cellIs" priority="84" operator="equal" dxfId="2">
      <formula>"En cours d'instruction"</formula>
    </cfRule>
    <cfRule type="cellIs" priority="85" operator="equal" dxfId="2">
      <formula>"Transferee N+1"</formula>
    </cfRule>
    <cfRule type="cellIs" priority="86" operator="equal" dxfId="2">
      <formula>"En attente reponse"</formula>
    </cfRule>
    <cfRule type="cellIs" priority="87" operator="equal" dxfId="2">
      <formula>"Enquete ouverte"</formula>
    </cfRule>
    <cfRule type="cellIs" priority="88" operator="equal" dxfId="2">
      <formula>"Convocation envoyee"</formula>
    </cfRule>
    <cfRule type="cellIs" priority="89" operator="equal" dxfId="2">
      <formula>"Entretien realise"</formula>
    </cfRule>
    <cfRule type="cellIs" priority="90" operator="equal" dxfId="2">
      <formula>"Saisie"</formula>
    </cfRule>
    <cfRule type="cellIs" priority="91" operator="equal" dxfId="2">
      <formula>"En mediation"</formula>
    </cfRule>
    <cfRule type="cellIs" priority="92" operator="equal" dxfId="2">
      <formula>"En recours"</formula>
    </cfRule>
    <cfRule type="cellIs" priority="93" operator="equal" dxfId="2">
      <formula>"Reportee"</formula>
    </cfRule>
    <cfRule type="cellIs" priority="94" operator="equal" dxfId="2">
      <formula>"Signale"</formula>
    </cfRule>
    <cfRule type="cellIs" priority="95" operator="equal" dxfId="2">
      <formula>"Precontentieux"</formula>
    </cfRule>
    <cfRule type="cellIs" priority="96" operator="equal" dxfId="2">
      <formula>"En attente election"</formula>
    </cfRule>
    <cfRule type="cellIs" priority="97" operator="equal" dxfId="2">
      <formula>"Classe"</formula>
    </cfRule>
    <cfRule type="cellIs" priority="98" operator="equal" dxfId="2">
      <formula>"En cours d'evaluation"</formula>
    </cfRule>
    <cfRule type="cellIs" priority="99" operator="equal" dxfId="2">
      <formula>"En cours d'enquete"</formula>
    </cfRule>
    <cfRule type="cellIs" priority="100" operator="equal" dxfId="2">
      <formula>"En cours de commande"</formula>
    </cfRule>
    <cfRule type="cellIs" priority="101" operator="equal" dxfId="2">
      <formula>"A revoir"</formula>
    </cfRule>
    <cfRule type="cellIs" priority="102" operator="equal" dxfId="2">
      <formula>"A remplacer"</formula>
    </cfRule>
    <cfRule type="cellIs" priority="103" operator="equal" dxfId="2">
      <formula>"En cours d'instruction CNPS"</formula>
    </cfRule>
    <cfRule type="cellIs" priority="104" operator="equal" dxfId="2">
      <formula>"En contestation"</formula>
    </cfRule>
    <cfRule type="cellIs" priority="105" operator="equal" dxfId="2">
      <formula>"Inapte temporaire"</formula>
    </cfRule>
    <cfRule type="cellIs" priority="106" operator="equal" dxfId="3">
      <formula>"Expire"</formula>
    </cfRule>
    <cfRule type="cellIs" priority="107" operator="equal" dxfId="3">
      <formula>"Rejete"</formula>
    </cfRule>
    <cfRule type="cellIs" priority="108" operator="equal" dxfId="3">
      <formula>"Rejetee"</formula>
    </cfRule>
    <cfRule type="cellIs" priority="109" operator="equal" dxfId="3">
      <formula>"Resilie"</formula>
    </cfRule>
    <cfRule type="cellIs" priority="110" operator="equal" dxfId="3">
      <formula>"Annule"</formula>
    </cfRule>
    <cfRule type="cellIs" priority="111" operator="equal" dxfId="3">
      <formula>"Annulee"</formula>
    </cfRule>
    <cfRule type="cellIs" priority="112" operator="equal" dxfId="3">
      <formula>"Refuse"</formula>
    </cfRule>
    <cfRule type="cellIs" priority="113" operator="equal" dxfId="3">
      <formula>"Non justifie"</formula>
    </cfRule>
    <cfRule type="cellIs" priority="114" operator="equal" dxfId="3">
      <formula>"Non justifiee"</formula>
    </cfRule>
    <cfRule type="cellIs" priority="115" operator="equal" dxfId="3">
      <formula>"Sanctionne"</formula>
    </cfRule>
    <cfRule type="cellIs" priority="116" operator="equal" dxfId="3">
      <formula>"Inaptitude"</formula>
    </cfRule>
    <cfRule type="cellIs" priority="117" operator="equal" dxfId="3">
      <formula>"Absent sans autorisation"</formula>
    </cfRule>
    <cfRule type="cellIs" priority="118" operator="equal" dxfId="3">
      <formula>"Abandon de poste"</formula>
    </cfRule>
    <cfRule type="cellIs" priority="119" operator="equal" dxfId="3">
      <formula>"Non satisfait"</formula>
    </cfRule>
    <cfRule type="cellIs" priority="120" operator="equal" dxfId="3">
      <formula>"Reportee"</formula>
    </cfRule>
    <cfRule type="cellIs" priority="121" operator="equal" dxfId="3">
      <formula>"Depasse"</formula>
    </cfRule>
    <cfRule type="cellIs" priority="122" operator="equal" dxfId="3">
      <formula>"Non utilise"</formula>
    </cfRule>
    <cfRule type="cellIs" priority="123" operator="equal" dxfId="3">
      <formula>"Non applicable"</formula>
    </cfRule>
    <cfRule type="cellIs" priority="124" operator="equal" dxfId="3">
      <formula>"Debutant"</formula>
    </cfRule>
    <cfRule type="cellIs" priority="125" operator="equal" dxfId="3">
      <formula>"Non atteint"</formula>
    </cfRule>
    <cfRule type="cellIs" priority="126" operator="equal" dxfId="3">
      <formula>"Abandonne"</formula>
    </cfRule>
    <cfRule type="cellIs" priority="127" operator="equal" dxfId="3">
      <formula>"Rupture essai"</formula>
    </cfRule>
    <cfRule type="cellIs" priority="128" operator="equal" dxfId="3">
      <formula>"Insuffisant"</formula>
    </cfRule>
    <cfRule type="cellIs" priority="129" operator="equal" dxfId="3">
      <formula>"Moyen"</formula>
    </cfRule>
    <cfRule type="cellIs" priority="130" operator="equal" dxfId="3">
      <formula>"E - Insuffisant"</formula>
    </cfRule>
    <cfRule type="cellIs" priority="131" operator="equal" dxfId="3">
      <formula>"Dissous"</formula>
    </cfRule>
    <cfRule type="cellIs" priority="132" operator="equal" dxfId="3">
      <formula>"Denonce"</formula>
    </cfRule>
    <cfRule type="cellIs" priority="133" operator="equal" dxfId="3">
      <formula>"Echoue"</formula>
    </cfRule>
    <cfRule type="cellIs" priority="134" operator="equal" dxfId="3">
      <formula>"Echouee"</formula>
    </cfRule>
    <cfRule type="cellIs" priority="135" operator="equal" dxfId="3">
      <formula>"Revoque"</formula>
    </cfRule>
    <cfRule type="cellIs" priority="136" operator="equal" dxfId="3">
      <formula>"Demissionnaire"</formula>
    </cfRule>
    <cfRule type="cellIs" priority="137" operator="equal" dxfId="3">
      <formula>"Licenciement pour faute"</formula>
    </cfRule>
    <cfRule type="cellIs" priority="138" operator="equal" dxfId="3">
      <formula>"Licenciement pour faute grave"</formula>
    </cfRule>
    <cfRule type="cellIs" priority="139" operator="equal" dxfId="3">
      <formula>"Terminee - Echec"</formula>
    </cfRule>
    <cfRule type="cellIs" priority="140" operator="equal" dxfId="3">
      <formula>"Abandonnee"</formula>
    </cfRule>
    <cfRule type="cellIs" priority="141" operator="equal" dxfId="3">
      <formula>"Violence physique"</formula>
    </cfRule>
    <cfRule type="cellIs" priority="142" operator="equal" dxfId="3">
      <formula>"Violence verbale"</formula>
    </cfRule>
    <cfRule type="cellIs" priority="143" operator="equal" dxfId="3">
      <formula>"Fatal"</formula>
    </cfRule>
    <cfRule type="cellIs" priority="144" operator="equal" dxfId="3">
      <formula>"Non reconnue"</formula>
    </cfRule>
    <cfRule type="cellIs" priority="145" operator="equal" dxfId="3">
      <formula>"Inapte definitif"</formula>
    </cfRule>
    <cfRule type="cellIs" priority="146" operator="equal" dxfId="3">
      <formula>"Perdu / vole"</formula>
    </cfRule>
    <cfRule type="cellIs" priority="147" operator="equal" dxfId="3">
      <formula>"Rebute"</formula>
    </cfRule>
    <cfRule type="cellIs" priority="148" operator="equal" dxfId="3">
      <formula>"Obsolette"</formula>
    </cfRule>
    <cfRule type="cellIs" priority="149" operator="equal" dxfId="3">
      <formula>"Conteste"</formula>
    </cfRule>
  </conditionalFormatting>
  <conditionalFormatting sqref="B10:B109">
    <cfRule type="expression" priority="150" dxfId="0">
      <formula>AND($C10="",$C9&lt;&gt;"")</formula>
    </cfRule>
  </conditionalFormatting>
  <conditionalFormatting sqref="C10:C109">
    <cfRule type="expression" priority="151" dxfId="0">
      <formula>AND($C10="",$C9&lt;&gt;"")</formula>
    </cfRule>
  </conditionalFormatting>
  <conditionalFormatting sqref="D10:D109">
    <cfRule type="expression" priority="152" dxfId="0">
      <formula>AND($C10="",$C9&lt;&gt;"")</formula>
    </cfRule>
  </conditionalFormatting>
  <conditionalFormatting sqref="E10:E109">
    <cfRule type="expression" priority="153" dxfId="0">
      <formula>AND($C10="",$C9&lt;&gt;"")</formula>
    </cfRule>
  </conditionalFormatting>
  <conditionalFormatting sqref="F10:F109">
    <cfRule type="expression" priority="154" dxfId="0">
      <formula>AND($C10="",$C9&lt;&gt;"")</formula>
    </cfRule>
  </conditionalFormatting>
  <conditionalFormatting sqref="G10:G109">
    <cfRule type="expression" priority="155" dxfId="0">
      <formula>AND($C10="",$C9&lt;&gt;"")</formula>
    </cfRule>
  </conditionalFormatting>
  <conditionalFormatting sqref="H10:H109">
    <cfRule type="expression" priority="156" dxfId="0">
      <formula>AND($C10="",$C9&lt;&gt;"")</formula>
    </cfRule>
  </conditionalFormatting>
  <conditionalFormatting sqref="I10:I109">
    <cfRule type="expression" priority="157" dxfId="0">
      <formula>AND($C10="",$C9&lt;&gt;"")</formula>
    </cfRule>
  </conditionalFormatting>
  <conditionalFormatting sqref="J10:J109">
    <cfRule type="expression" priority="158" dxfId="0">
      <formula>AND($C10="",$C9&lt;&gt;"")</formula>
    </cfRule>
  </conditionalFormatting>
  <conditionalFormatting sqref="K10:K109">
    <cfRule type="expression" priority="159" dxfId="0">
      <formula>AND($C10="",$C9&lt;&gt;"")</formula>
    </cfRule>
  </conditionalFormatting>
  <conditionalFormatting sqref="L10:L109">
    <cfRule type="expression" priority="160" dxfId="0">
      <formula>AND($C10="",$C9&lt;&gt;"")</formula>
    </cfRule>
  </conditionalFormatting>
  <conditionalFormatting sqref="M10:M109">
    <cfRule type="expression" priority="161" dxfId="0">
      <formula>AND($C10="",$C9&lt;&gt;"")</formula>
    </cfRule>
  </conditionalFormatting>
  <dataValidations count="3">
    <dataValidation sqref="G5:G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H5:H109" showDropDown="0" showInputMessage="0" showErrorMessage="0" allowBlank="1" errorTitle="Erreur" error="Valeur invalide" promptTitle="Liste" prompt="Choisir dans la liste" type="list">
      <formula1>'_Lists'!$Y$2:$Y$4</formula1>
    </dataValidation>
    <dataValidation sqref="M5:M109" showDropDown="0" showInputMessage="0" showErrorMessage="0" allowBlank="1" errorTitle="Erreur" error="Valeur invalide" promptTitle="Liste" prompt="Choisir dans la liste" type="list">
      <formula1>'_Lists'!$T$2:$T$7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2026-07-05T23:08:11Z</dcterms:created>
  <dcterms:modified xmlns:dcterms="http://purl.org/dc/terms/" xmlns:xsi="http://www.w3.org/2001/XMLSchema-instance" xsi:type="dcterms:W3CDTF">2026-07-09T16:27:42Z</dcterms:modified>
</cp:coreProperties>
</file>