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Données Employés" sheetId="1" state="hidden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Parite Homme Femme" sheetId="4" state="visible" r:id="rId4"/>
    <sheet xmlns:r="http://schemas.openxmlformats.org/officeDocument/2006/relationships" name="3-Emploi Pers. Handicapees" sheetId="5" state="visible" r:id="rId5"/>
    <sheet xmlns:r="http://schemas.openxmlformats.org/officeDocument/2006/relationships" name="4-Suivi Diversite" sheetId="6" state="visible" r:id="rId6"/>
    <sheet xmlns:r="http://schemas.openxmlformats.org/officeDocument/2006/relationships" name="5-Plan Action Divers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" fontId="8" fillId="3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" fontId="8" fillId="4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FFD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Hommes vs Femmes par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Bord'!$B$16:$B$21</f>
            </numRef>
          </cat>
          <val>
            <numRef>
              <f>'1-Tableau de Bord'!$C$16:$C$21</f>
            </numRef>
          </val>
        </ser>
        <ser>
          <idx val="1"/>
          <order val="1"/>
          <tx>
            <strRef>
              <f>'1-Tableau de Bord'!D15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'1-Tableau de Bord'!$B$16:$B$21</f>
            </numRef>
          </cat>
          <val>
            <numRef>
              <f>'1-Tableau de Bord'!$D$16:$D$21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Effectif par Tranche d'Age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Bord'!$H$24:$H$28</f>
            </numRef>
          </cat>
          <val>
            <numRef>
              <f>'1-Tableau de Bord'!$I$24:$I$28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22" customWidth="1" min="5" max="5"/>
    <col width="16" customWidth="1" min="6" max="6"/>
    <col width="8" customWidth="1" min="7" max="7"/>
    <col width="16" customWidth="1" min="8" max="8"/>
  </cols>
  <sheetData>
    <row r="1">
      <c r="A1" s="29" t="inlineStr">
        <is>
          <t>Matricule</t>
        </is>
      </c>
      <c r="B1" s="29" t="inlineStr">
        <is>
          <t>Nom</t>
        </is>
      </c>
      <c r="C1" s="29" t="inlineStr">
        <is>
          <t>Prénom</t>
        </is>
      </c>
      <c r="D1" s="29" t="inlineStr">
        <is>
          <t>Département</t>
        </is>
      </c>
      <c r="E1" s="29" t="inlineStr">
        <is>
          <t>Poste</t>
        </is>
      </c>
      <c r="F1" s="29" t="inlineStr">
        <is>
          <t>Salaire Brut</t>
        </is>
      </c>
      <c r="G1" s="29" t="inlineStr">
        <is>
          <t>Genre</t>
        </is>
      </c>
      <c r="H1" s="29" t="inlineStr">
        <is>
          <t>Date Embauche</t>
        </is>
      </c>
    </row>
    <row r="2">
      <c r="A2" t="inlineStr">
        <is>
          <t>EMP-001</t>
        </is>
      </c>
      <c r="B2" t="inlineStr">
        <is>
          <t>Nganou</t>
        </is>
      </c>
      <c r="C2" t="inlineStr">
        <is>
          <t>Clarisse</t>
        </is>
      </c>
      <c r="D2" t="inlineStr">
        <is>
          <t>Cuisine &amp; Restauration</t>
        </is>
      </c>
      <c r="E2" t="inlineStr">
        <is>
          <t>Chef</t>
        </is>
      </c>
      <c r="F2" t="n">
        <v>450000</v>
      </c>
      <c r="G2" t="inlineStr">
        <is>
          <t>F</t>
        </is>
      </c>
      <c r="H2" t="inlineStr">
        <is>
          <t>2020-01-15</t>
        </is>
      </c>
    </row>
    <row r="3">
      <c r="A3" t="inlineStr">
        <is>
          <t>EMP-002</t>
        </is>
      </c>
      <c r="B3" t="inlineStr">
        <is>
          <t>Tagne</t>
        </is>
      </c>
      <c r="C3" t="inlineStr">
        <is>
          <t>René</t>
        </is>
      </c>
      <c r="D3" t="inlineStr">
        <is>
          <t>Réception &amp; Front Office</t>
        </is>
      </c>
      <c r="E3" t="inlineStr">
        <is>
          <t>Réceptionniste</t>
        </is>
      </c>
      <c r="F3" t="n">
        <v>165000</v>
      </c>
      <c r="G3" t="inlineStr">
        <is>
          <t>H</t>
        </is>
      </c>
      <c r="H3" t="inlineStr">
        <is>
          <t>2019-06-01</t>
        </is>
      </c>
    </row>
    <row r="4">
      <c r="A4" t="inlineStr">
        <is>
          <t>EMP-003</t>
        </is>
      </c>
      <c r="B4" t="inlineStr">
        <is>
          <t>Fotso</t>
        </is>
      </c>
      <c r="C4" t="inlineStr">
        <is>
          <t>Camille</t>
        </is>
      </c>
      <c r="D4" t="inlineStr">
        <is>
          <t>Cuisine &amp; Restauration</t>
        </is>
      </c>
      <c r="E4" t="inlineStr">
        <is>
          <t>Cuisinier</t>
        </is>
      </c>
      <c r="F4" t="n">
        <v>180000</v>
      </c>
      <c r="G4" t="inlineStr">
        <is>
          <t>H</t>
        </is>
      </c>
      <c r="H4" t="inlineStr">
        <is>
          <t>2021-03-10</t>
        </is>
      </c>
    </row>
    <row r="5">
      <c r="A5" t="inlineStr">
        <is>
          <t>EMP-004</t>
        </is>
      </c>
      <c r="B5" t="inlineStr">
        <is>
          <t>Tchinda</t>
        </is>
      </c>
      <c r="C5" t="inlineStr">
        <is>
          <t>Arlette</t>
        </is>
      </c>
      <c r="D5" t="inlineStr">
        <is>
          <t>Service Client</t>
        </is>
      </c>
      <c r="E5" t="inlineStr">
        <is>
          <t>Assistante RH</t>
        </is>
      </c>
      <c r="F5" t="n">
        <v>200000</v>
      </c>
      <c r="G5" t="inlineStr">
        <is>
          <t>F</t>
        </is>
      </c>
      <c r="H5" t="inlineStr">
        <is>
          <t>2022-09-01</t>
        </is>
      </c>
    </row>
    <row r="6">
      <c r="A6" t="inlineStr">
        <is>
          <t>EMP-005</t>
        </is>
      </c>
      <c r="B6" t="inlineStr">
        <is>
          <t>Ngansop</t>
        </is>
      </c>
      <c r="C6" t="inlineStr">
        <is>
          <t>Sylvie</t>
        </is>
      </c>
      <c r="D6" t="inlineStr">
        <is>
          <t>Finance &amp; Comptabilité</t>
        </is>
      </c>
      <c r="E6" t="inlineStr">
        <is>
          <t>Comptable senior</t>
        </is>
      </c>
      <c r="F6" t="n">
        <v>250000</v>
      </c>
      <c r="G6" t="inlineStr">
        <is>
          <t>F</t>
        </is>
      </c>
      <c r="H6" t="inlineStr">
        <is>
          <t>2018-02-20</t>
        </is>
      </c>
    </row>
    <row r="7">
      <c r="A7" t="inlineStr">
        <is>
          <t>EMP-006</t>
        </is>
      </c>
      <c r="B7" t="inlineStr">
        <is>
          <t>Fokam</t>
        </is>
      </c>
      <c r="C7" t="inlineStr">
        <is>
          <t>Eric</t>
        </is>
      </c>
      <c r="D7" t="inlineStr">
        <is>
          <t>Réception &amp; Front Office</t>
        </is>
      </c>
      <c r="E7" t="inlineStr">
        <is>
          <t>Chef Réception</t>
        </is>
      </c>
      <c r="F7" t="n">
        <v>280000</v>
      </c>
      <c r="G7" t="inlineStr">
        <is>
          <t>H</t>
        </is>
      </c>
      <c r="H7" t="inlineStr">
        <is>
          <t>2017-08-15</t>
        </is>
      </c>
    </row>
    <row r="8">
      <c r="A8" t="inlineStr">
        <is>
          <t>EMP-007</t>
        </is>
      </c>
      <c r="B8" t="inlineStr">
        <is>
          <t>Tchouankou</t>
        </is>
      </c>
      <c r="C8" t="inlineStr">
        <is>
          <t>Paul</t>
        </is>
      </c>
      <c r="D8" t="inlineStr">
        <is>
          <t>Étage &amp; Housekeeping</t>
        </is>
      </c>
      <c r="E8" t="inlineStr">
        <is>
          <t>Chef Étage</t>
        </is>
      </c>
      <c r="F8" t="n">
        <v>230000</v>
      </c>
      <c r="G8" t="inlineStr">
        <is>
          <t>H</t>
        </is>
      </c>
      <c r="H8" t="inlineStr">
        <is>
          <t>2020-11-01</t>
        </is>
      </c>
    </row>
    <row r="9">
      <c r="A9" t="inlineStr">
        <is>
          <t>EMP-008</t>
        </is>
      </c>
      <c r="B9" t="inlineStr">
        <is>
          <t>Awa</t>
        </is>
      </c>
      <c r="C9" t="inlineStr">
        <is>
          <t>Fatou</t>
        </is>
      </c>
      <c r="D9" t="inlineStr">
        <is>
          <t>Commercial</t>
        </is>
      </c>
      <c r="E9" t="inlineStr">
        <is>
          <t>Agent Commercial</t>
        </is>
      </c>
      <c r="F9" t="n">
        <v>155000</v>
      </c>
      <c r="G9" t="inlineStr">
        <is>
          <t>F</t>
        </is>
      </c>
      <c r="H9" t="inlineStr">
        <is>
          <t>2023-01-15</t>
        </is>
      </c>
    </row>
    <row r="10">
      <c r="A10" t="inlineStr">
        <is>
          <t>EMP-009</t>
        </is>
      </c>
      <c r="B10" t="inlineStr">
        <is>
          <t>Bouba</t>
        </is>
      </c>
      <c r="C10" t="inlineStr">
        <is>
          <t>Ahmed</t>
        </is>
      </c>
      <c r="D10" t="inlineStr">
        <is>
          <t>Cuisine &amp; Restauration</t>
        </is>
      </c>
      <c r="E10" t="inlineStr">
        <is>
          <t>Sous-Chef</t>
        </is>
      </c>
      <c r="F10" t="n">
        <v>210000</v>
      </c>
      <c r="G10" t="inlineStr">
        <is>
          <t>H</t>
        </is>
      </c>
      <c r="H10" t="inlineStr">
        <is>
          <t>2019-04-01</t>
        </is>
      </c>
    </row>
    <row r="11">
      <c r="A11" t="inlineStr">
        <is>
          <t>EMP-010</t>
        </is>
      </c>
      <c r="B11" t="inlineStr">
        <is>
          <t>Kamga</t>
        </is>
      </c>
      <c r="C11" t="inlineStr">
        <is>
          <t>Patrice</t>
        </is>
      </c>
      <c r="D11" t="inlineStr">
        <is>
          <t>Sécurité</t>
        </is>
      </c>
      <c r="E11" t="inlineStr">
        <is>
          <t>Chef Sécurité</t>
        </is>
      </c>
      <c r="F11" t="n">
        <v>210000</v>
      </c>
      <c r="G11" t="inlineStr">
        <is>
          <t>H</t>
        </is>
      </c>
      <c r="H11" t="inlineStr">
        <is>
          <t>2021-07-01</t>
        </is>
      </c>
    </row>
    <row r="12">
      <c r="A12" t="inlineStr">
        <is>
          <t>EMP-011</t>
        </is>
      </c>
      <c r="B12" t="inlineStr">
        <is>
          <t>Ngo</t>
        </is>
      </c>
      <c r="C12" t="inlineStr">
        <is>
          <t>Delphine</t>
        </is>
      </c>
      <c r="D12" t="inlineStr">
        <is>
          <t>Marketing &amp; Communication</t>
        </is>
      </c>
      <c r="E12" t="inlineStr">
        <is>
          <t>Chef Marketing</t>
        </is>
      </c>
      <c r="F12" t="n">
        <v>300000</v>
      </c>
      <c r="G12" t="inlineStr">
        <is>
          <t>F</t>
        </is>
      </c>
      <c r="H12" t="inlineStr">
        <is>
          <t>2018-05-15</t>
        </is>
      </c>
    </row>
    <row r="13">
      <c r="A13" t="inlineStr">
        <is>
          <t>EMP-012</t>
        </is>
      </c>
      <c r="B13" t="inlineStr">
        <is>
          <t>Tamo</t>
        </is>
      </c>
      <c r="C13" t="inlineStr">
        <is>
          <t>Elvis</t>
        </is>
      </c>
      <c r="D13" t="inlineStr">
        <is>
          <t>Logistique &amp; Approvisionnement</t>
        </is>
      </c>
      <c r="E13" t="inlineStr">
        <is>
          <t>Chef Logistique</t>
        </is>
      </c>
      <c r="F13" t="n">
        <v>240000</v>
      </c>
      <c r="G13" t="inlineStr">
        <is>
          <t>H</t>
        </is>
      </c>
      <c r="H13" t="inlineStr">
        <is>
          <t>2022-03-01</t>
        </is>
      </c>
    </row>
    <row r="14">
      <c r="A14" t="inlineStr">
        <is>
          <t>EMP-013</t>
        </is>
      </c>
      <c r="B14" t="inlineStr">
        <is>
          <t>Foumane</t>
        </is>
      </c>
      <c r="C14" t="inlineStr">
        <is>
          <t>Pierre</t>
        </is>
      </c>
      <c r="D14" t="inlineStr">
        <is>
          <t>Maintenance</t>
        </is>
      </c>
      <c r="E14" t="inlineStr">
        <is>
          <t>Chef Entretien</t>
        </is>
      </c>
      <c r="F14" t="n">
        <v>220000</v>
      </c>
      <c r="G14" t="inlineStr">
        <is>
          <t>H</t>
        </is>
      </c>
      <c r="H14" t="inlineStr">
        <is>
          <t>2020-06-15</t>
        </is>
      </c>
    </row>
    <row r="15">
      <c r="A15" t="inlineStr">
        <is>
          <t>EMP-014</t>
        </is>
      </c>
      <c r="B15" t="inlineStr">
        <is>
          <t>Kane</t>
        </is>
      </c>
      <c r="C15" t="inlineStr">
        <is>
          <t>Adama</t>
        </is>
      </c>
      <c r="D15" t="inlineStr">
        <is>
          <t>Direction Générale</t>
        </is>
      </c>
      <c r="E15" t="inlineStr">
        <is>
          <t>DAF</t>
        </is>
      </c>
      <c r="F15" t="n">
        <v>350000</v>
      </c>
      <c r="G15" t="inlineStr">
        <is>
          <t>H</t>
        </is>
      </c>
      <c r="H15" t="inlineStr">
        <is>
          <t>2016-01-10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16 — DIVERSITE, EQUITE &amp; INCLUSION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% femmes global</t>
        </is>
      </c>
      <c r="E5" s="3" t="inlineStr">
        <is>
          <t>Services conformes parite</t>
        </is>
      </c>
      <c r="H5" s="3" t="inlineStr">
        <is>
          <t>Pers. handicapees</t>
        </is>
      </c>
      <c r="K5" s="3" t="inlineStr">
        <is>
          <t>Actions diversite</t>
        </is>
      </c>
    </row>
    <row r="6">
      <c r="B6" s="4">
        <f>IFERROR(SUM('2-Parite Homme Femme'!F5:F104)/SUM('2-Parite Homme Femme'!G5:G104),0)</f>
        <v/>
      </c>
      <c r="E6" s="5">
        <f>COUNTIF('2-Parite Homme Femme'!K5:K104,"Conforme")</f>
        <v/>
      </c>
      <c r="H6" s="5">
        <f>COUNTIF('3-Emploi Pers. Handicapees'!B5:B104,"&lt;&gt;")</f>
        <v/>
      </c>
      <c r="K6" s="5">
        <f>COUNTIF('5-Plan Action Diversite'!B5:B104,"&lt;&gt;")</f>
        <v/>
      </c>
    </row>
    <row r="9">
      <c r="B9" s="3" t="inlineStr">
        <is>
          <t>Effectif total suivi</t>
        </is>
      </c>
      <c r="E9" s="3" t="inlineStr">
        <is>
          <t>Categories diversite</t>
        </is>
      </c>
      <c r="H9" s="3" t="inlineStr">
        <is>
          <t>Budget plan action</t>
        </is>
      </c>
      <c r="K9" s="3" t="inlineStr">
        <is>
          <t>Services non conformes</t>
        </is>
      </c>
    </row>
    <row r="10">
      <c r="B10" s="5">
        <f>SUM('4-Suivi Diversite'!E5:E104)</f>
        <v/>
      </c>
      <c r="E10" s="5">
        <f>COUNTIF('4-Suivi Diversite'!B5:B104,"&lt;&gt;")</f>
        <v/>
      </c>
      <c r="H10" s="5">
        <f>SUM('5-Plan Action Diversite'!H5:H104)</f>
        <v/>
      </c>
      <c r="K10" s="5">
        <f>COUNTIF('2-Parite Homme Femme'!K5:K104,"Non conforme")</f>
        <v/>
      </c>
    </row>
    <row r="14">
      <c r="B14" s="6" t="inlineStr">
        <is>
          <t>REPARTITION PAR SERVICE &amp; DIVERSITE PAR CRITERE</t>
        </is>
      </c>
    </row>
    <row r="15" ht="15" customHeight="1">
      <c r="B15" s="3" t="inlineStr">
        <is>
          <t>Service</t>
        </is>
      </c>
      <c r="C15" s="3" t="inlineStr">
        <is>
          <t>Hommes</t>
        </is>
      </c>
      <c r="D15" s="3" t="inlineStr">
        <is>
          <t>Femmes</t>
        </is>
      </c>
    </row>
    <row r="16" ht="15" customHeight="1">
      <c r="B16" s="7" t="inlineStr">
        <is>
          <t>Direction Générale</t>
        </is>
      </c>
      <c r="C16" s="8">
        <f>IFERROR(INDEX('2-Parite Homme Femme'!E:E,MATCH("Direction Générale",'2-Parite Homme Femme'!C:C,0)),0)</f>
        <v/>
      </c>
      <c r="D16" s="8">
        <f>IFERROR(INDEX('2-Parite Homme Femme'!F:F,MATCH("Direction Générale",'2-Parite Homme Femme'!C:C,0)),0)</f>
        <v/>
      </c>
    </row>
    <row r="17" ht="15" customHeight="1">
      <c r="B17" s="7" t="inlineStr">
        <is>
          <t>Service Client</t>
        </is>
      </c>
      <c r="C17" s="8">
        <f>IFERROR(INDEX('2-Parite Homme Femme'!E:E,MATCH("Service Client",'2-Parite Homme Femme'!C:C,0)),0)</f>
        <v/>
      </c>
      <c r="D17" s="8">
        <f>IFERROR(INDEX('2-Parite Homme Femme'!F:F,MATCH("Service Client",'2-Parite Homme Femme'!C:C,0)),0)</f>
        <v/>
      </c>
    </row>
    <row r="18" ht="15" customHeight="1">
      <c r="B18" s="7" t="inlineStr">
        <is>
          <t>Réception &amp; Front Office</t>
        </is>
      </c>
      <c r="C18" s="8">
        <f>IFERROR(INDEX('2-Parite Homme Femme'!E:E,MATCH("Réception &amp; Front Office",'2-Parite Homme Femme'!C:C,0)),0)</f>
        <v/>
      </c>
      <c r="D18" s="8">
        <f>IFERROR(INDEX('2-Parite Homme Femme'!F:F,MATCH("Réception &amp; Front Office",'2-Parite Homme Femme'!C:C,0)),0)</f>
        <v/>
      </c>
    </row>
    <row r="19" ht="15" customHeight="1">
      <c r="B19" s="7" t="inlineStr">
        <is>
          <t>Cuisine &amp; Restauration</t>
        </is>
      </c>
      <c r="C19" s="8">
        <f>IFERROR(INDEX('2-Parite Homme Femme'!E:E,MATCH("Cuisine &amp; Restauration",'2-Parite Homme Femme'!C:C,0)),0)</f>
        <v/>
      </c>
      <c r="D19" s="8">
        <f>IFERROR(INDEX('2-Parite Homme Femme'!F:F,MATCH("Cuisine &amp; Restauration",'2-Parite Homme Femme'!C:C,0)),0)</f>
        <v/>
      </c>
    </row>
    <row r="20" ht="15" customHeight="1">
      <c r="B20" s="7" t="inlineStr">
        <is>
          <t>Maintenance</t>
        </is>
      </c>
      <c r="C20" s="8">
        <f>IFERROR(INDEX('2-Parite Homme Femme'!E:E,MATCH("Maintenance",'2-Parite Homme Femme'!C:C,0)),0)</f>
        <v/>
      </c>
      <c r="D20" s="8">
        <f>IFERROR(INDEX('2-Parite Homme Femme'!F:F,MATCH("Maintenance",'2-Parite Homme Femme'!C:C,0)),0)</f>
        <v/>
      </c>
    </row>
    <row r="21" ht="15" customHeight="1">
      <c r="B21" s="7" t="inlineStr">
        <is>
          <t>Sécurité</t>
        </is>
      </c>
      <c r="C21" s="8">
        <f>IFERROR(INDEX('2-Parite Homme Femme'!E:E,MATCH("Sécurité",'2-Parite Homme Femme'!C:C,0)),0)</f>
        <v/>
      </c>
      <c r="D21" s="8">
        <f>IFERROR(INDEX('2-Parite Homme Femme'!F:F,MATCH("Sécurité",'2-Parite Homme Femme'!C:C,0)),0)</f>
        <v/>
      </c>
    </row>
    <row r="22" ht="15" customHeight="1"/>
    <row r="23" ht="15" customHeight="1">
      <c r="H23" s="3" t="inlineStr">
        <is>
          <t>Tranche Age</t>
        </is>
      </c>
      <c r="I23" s="3" t="inlineStr">
        <is>
          <t>Effectif</t>
        </is>
      </c>
    </row>
    <row r="24" ht="15" customHeight="1">
      <c r="H24" s="7" t="inlineStr">
        <is>
          <t>18-25 ans</t>
        </is>
      </c>
      <c r="I24" s="8">
        <f>IFERROR(INDEX('4-Suivi Diversite'!E:E,MATCH("18-25 ans",'4-Suivi Diversite'!D:D,0)),0)</f>
        <v/>
      </c>
    </row>
    <row r="25" ht="15" customHeight="1">
      <c r="H25" s="7" t="inlineStr">
        <is>
          <t>26-35 ans</t>
        </is>
      </c>
      <c r="I25" s="8">
        <f>IFERROR(INDEX('4-Suivi Diversite'!E:E,MATCH("26-35 ans",'4-Suivi Diversite'!D:D,0)),0)</f>
        <v/>
      </c>
    </row>
    <row r="26" ht="15" customHeight="1">
      <c r="H26" s="7" t="inlineStr">
        <is>
          <t>36-45 ans</t>
        </is>
      </c>
      <c r="I26" s="8">
        <f>IFERROR(INDEX('4-Suivi Diversite'!E:E,MATCH("36-45 ans",'4-Suivi Diversite'!D:D,0)),0)</f>
        <v/>
      </c>
    </row>
    <row r="27" ht="15" customHeight="1">
      <c r="H27" s="7" t="inlineStr">
        <is>
          <t>46-55 ans</t>
        </is>
      </c>
      <c r="I27" s="8">
        <f>IFERROR(INDEX('4-Suivi Diversite'!E:E,MATCH("46-55 ans",'4-Suivi Diversite'!D:D,0)),0)</f>
        <v/>
      </c>
    </row>
    <row r="28" ht="15" customHeight="1">
      <c r="H28" s="7" t="inlineStr">
        <is>
          <t>56 ans et +</t>
        </is>
      </c>
      <c r="I28" s="8">
        <f>IFERROR(INDEX('4-Suivi Diversite'!E:E,MATCH("56 ans et +",'4-Suivi Diversite'!D:D,0)),0)</f>
        <v/>
      </c>
    </row>
  </sheetData>
  <mergeCells count="19">
    <mergeCell ref="H10:I10"/>
    <mergeCell ref="B3:L3"/>
    <mergeCell ref="K9:L9"/>
    <mergeCell ref="E5:F5"/>
    <mergeCell ref="K5:L5"/>
    <mergeCell ref="H9:I9"/>
    <mergeCell ref="H6:I6"/>
    <mergeCell ref="E10:F10"/>
    <mergeCell ref="B2:L2"/>
    <mergeCell ref="B14:L14"/>
    <mergeCell ref="E9:F9"/>
    <mergeCell ref="E6:F6"/>
    <mergeCell ref="B10:C10"/>
    <mergeCell ref="B9:C9"/>
    <mergeCell ref="B6:C6"/>
    <mergeCell ref="B5:C5"/>
    <mergeCell ref="K10:L10"/>
    <mergeCell ref="H5:I5"/>
    <mergeCell ref="K6:L6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25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genre</t>
        </is>
      </c>
      <c r="C1" s="9" t="inlineStr">
        <is>
          <t>departement</t>
        </is>
      </c>
      <c r="D1" s="9" t="inlineStr">
        <is>
          <t>poste_hotel</t>
        </is>
      </c>
      <c r="E1" s="9" t="inlineStr">
        <is>
          <t>categorie_pro</t>
        </is>
      </c>
      <c r="F1" s="9" t="inlineStr">
        <is>
          <t>tranche_age</t>
        </is>
      </c>
      <c r="G1" s="9" t="inlineStr">
        <is>
          <t>type_handicap</t>
        </is>
      </c>
      <c r="H1" s="9" t="inlineStr">
        <is>
          <t>niveau_amenagement</t>
        </is>
      </c>
      <c r="I1" s="9" t="inlineStr">
        <is>
          <t>statut_emploi_handicap</t>
        </is>
      </c>
      <c r="J1" s="9" t="inlineStr">
        <is>
          <t>origine_region</t>
        </is>
      </c>
      <c r="K1" s="9" t="inlineStr">
        <is>
          <t>nationalite</t>
        </is>
      </c>
      <c r="L1" s="9" t="inlineStr">
        <is>
          <t>statut_diversite</t>
        </is>
      </c>
      <c r="M1" s="9" t="inlineStr">
        <is>
          <t>statut_action</t>
        </is>
      </c>
      <c r="N1" t="inlineStr">
        <is>
          <t>criteres_diversite</t>
        </is>
      </c>
    </row>
    <row r="2">
      <c r="B2" s="10" t="inlineStr">
        <is>
          <t>Homme</t>
        </is>
      </c>
      <c r="C2" s="10" t="inlineStr">
        <is>
          <t>Direction Générale</t>
        </is>
      </c>
      <c r="D2" s="10" t="inlineStr">
        <is>
          <t>DG</t>
        </is>
      </c>
      <c r="E2" s="10" t="inlineStr">
        <is>
          <t>Cadre dirigeant</t>
        </is>
      </c>
      <c r="F2" s="10" t="inlineStr">
        <is>
          <t>18-25 ans</t>
        </is>
      </c>
      <c r="G2" s="10" t="inlineStr">
        <is>
          <t>Moteur</t>
        </is>
      </c>
      <c r="H2" s="10" t="inlineStr">
        <is>
          <t>Aucun necessaire</t>
        </is>
      </c>
      <c r="I2" s="10" t="inlineStr">
        <is>
          <t>En poste</t>
        </is>
      </c>
      <c r="J2" s="10" t="inlineStr">
        <is>
          <t>Centre</t>
        </is>
      </c>
      <c r="K2" s="10" t="inlineStr">
        <is>
          <t>Camerounaise</t>
        </is>
      </c>
      <c r="L2" s="10" t="inlineStr">
        <is>
          <t>Conforme</t>
        </is>
      </c>
      <c r="M2" s="10" t="inlineStr">
        <is>
          <t>Planifiee</t>
        </is>
      </c>
      <c r="N2" t="inlineStr">
        <is>
          <t>Age</t>
        </is>
      </c>
    </row>
    <row r="3">
      <c r="B3" s="10" t="inlineStr">
        <is>
          <t>Femme</t>
        </is>
      </c>
      <c r="C3" s="10" t="inlineStr">
        <is>
          <t>Service Client</t>
        </is>
      </c>
      <c r="D3" s="10" t="inlineStr">
        <is>
          <t>DRH</t>
        </is>
      </c>
      <c r="E3" s="10" t="inlineStr">
        <is>
          <t>Cadre</t>
        </is>
      </c>
      <c r="F3" s="10" t="inlineStr">
        <is>
          <t>26-35 ans</t>
        </is>
      </c>
      <c r="G3" s="10" t="inlineStr">
        <is>
          <t>Visuel</t>
        </is>
      </c>
      <c r="H3" s="10" t="inlineStr">
        <is>
          <t>Amenagement leger (materiel)</t>
        </is>
      </c>
      <c r="I3" s="10" t="inlineStr">
        <is>
          <t>En cours de recrutement</t>
        </is>
      </c>
      <c r="J3" s="10" t="inlineStr">
        <is>
          <t>Littoral</t>
        </is>
      </c>
      <c r="K3" s="10" t="inlineStr">
        <is>
          <t>Nigeriane</t>
        </is>
      </c>
      <c r="L3" s="10" t="inlineStr">
        <is>
          <t>En cours d'amelioration</t>
        </is>
      </c>
      <c r="M3" s="10" t="inlineStr">
        <is>
          <t>En cours</t>
        </is>
      </c>
      <c r="N3" t="inlineStr">
        <is>
          <t>Origine</t>
        </is>
      </c>
    </row>
    <row r="4">
      <c r="C4" s="10" t="inlineStr">
        <is>
          <t>Finance &amp; Comptabilité</t>
        </is>
      </c>
      <c r="D4" s="10" t="inlineStr">
        <is>
          <t>Assistante RH</t>
        </is>
      </c>
      <c r="E4" s="10" t="inlineStr">
        <is>
          <t>Agent de maitrise</t>
        </is>
      </c>
      <c r="F4" s="10" t="inlineStr">
        <is>
          <t>36-45 ans</t>
        </is>
      </c>
      <c r="G4" s="10" t="inlineStr">
        <is>
          <t>Auditif</t>
        </is>
      </c>
      <c r="H4" s="10" t="inlineStr">
        <is>
          <t>Amenagement modere (poste adapte)</t>
        </is>
      </c>
      <c r="I4" s="10" t="inlineStr">
        <is>
          <t>Entretien realise</t>
        </is>
      </c>
      <c r="J4" s="10" t="inlineStr">
        <is>
          <t>Ouest</t>
        </is>
      </c>
      <c r="K4" s="10" t="inlineStr">
        <is>
          <t>Ghanaeenne</t>
        </is>
      </c>
      <c r="L4" s="10" t="inlineStr">
        <is>
          <t>Non conforme</t>
        </is>
      </c>
      <c r="M4" s="10" t="inlineStr">
        <is>
          <t>Terminee</t>
        </is>
      </c>
      <c r="N4" t="inlineStr">
        <is>
          <t>Nationalite</t>
        </is>
      </c>
    </row>
    <row r="5">
      <c r="C5" s="10" t="inlineStr">
        <is>
          <t>Marketing &amp; Communication</t>
        </is>
      </c>
      <c r="D5" s="10" t="inlineStr">
        <is>
          <t>DAF</t>
        </is>
      </c>
      <c r="E5" s="10" t="inlineStr">
        <is>
          <t>Employe</t>
        </is>
      </c>
      <c r="F5" s="10" t="inlineStr">
        <is>
          <t>46-55 ans</t>
        </is>
      </c>
      <c r="G5" s="10" t="inlineStr">
        <is>
          <t>Mental</t>
        </is>
      </c>
      <c r="H5" s="10" t="inlineStr">
        <is>
          <t>Amenagement lourd (infrastructure)</t>
        </is>
      </c>
      <c r="I5" s="10" t="inlineStr">
        <is>
          <t>Candidature en attente</t>
        </is>
      </c>
      <c r="J5" s="10" t="inlineStr">
        <is>
          <t>Nord-Ouest</t>
        </is>
      </c>
      <c r="K5" s="10" t="inlineStr">
        <is>
          <t>Ivoirienne</t>
        </is>
      </c>
      <c r="L5" s="10" t="inlineStr">
        <is>
          <t>En attente de donnees</t>
        </is>
      </c>
      <c r="M5" s="10" t="inlineStr">
        <is>
          <t>Reportee</t>
        </is>
      </c>
      <c r="N5" t="inlineStr">
        <is>
          <t>Genre</t>
        </is>
      </c>
    </row>
    <row r="6">
      <c r="C6" s="10" t="inlineStr">
        <is>
          <t>Maintenance</t>
        </is>
      </c>
      <c r="D6" s="10" t="inlineStr">
        <is>
          <t>Comptable senior</t>
        </is>
      </c>
      <c r="E6" s="10" t="inlineStr">
        <is>
          <t>Stagiaire</t>
        </is>
      </c>
      <c r="F6" s="10" t="inlineStr">
        <is>
          <t>56 ans et +</t>
        </is>
      </c>
      <c r="G6" s="10" t="inlineStr">
        <is>
          <t>Maladie chronique</t>
        </is>
      </c>
      <c r="H6" s="10" t="inlineStr">
        <is>
          <t>Accompagnement specialise</t>
        </is>
      </c>
      <c r="I6" s="10" t="inlineStr">
        <is>
          <t>Non retenu</t>
        </is>
      </c>
      <c r="J6" s="10" t="inlineStr">
        <is>
          <t>Sud-Ouest</t>
        </is>
      </c>
      <c r="K6" s="10" t="inlineStr">
        <is>
          <t>Senegalaise</t>
        </is>
      </c>
      <c r="L6" s="10" t="inlineStr">
        <is>
          <t>Objectif atteint</t>
        </is>
      </c>
      <c r="M6" s="10" t="inlineStr">
        <is>
          <t>Annulee</t>
        </is>
      </c>
      <c r="N6" t="inlineStr">
        <is>
          <t>Handicap</t>
        </is>
      </c>
    </row>
    <row r="7">
      <c r="C7" s="10" t="inlineStr">
        <is>
          <t>Commercial</t>
        </is>
      </c>
      <c r="D7" s="10" t="inlineStr">
        <is>
          <t>Chef Comptable</t>
        </is>
      </c>
      <c r="G7" s="10" t="inlineStr">
        <is>
          <t>Autre</t>
        </is>
      </c>
      <c r="I7" s="10" t="inlineStr">
        <is>
          <t>Formation en cours</t>
        </is>
      </c>
      <c r="J7" s="10" t="inlineStr">
        <is>
          <t>Sud</t>
        </is>
      </c>
      <c r="K7" s="10" t="inlineStr">
        <is>
          <t>Tchadienne</t>
        </is>
      </c>
      <c r="N7" t="inlineStr">
        <is>
          <t>Formation</t>
        </is>
      </c>
    </row>
    <row r="8">
      <c r="C8" s="10" t="inlineStr">
        <is>
          <t>Logistique &amp; Approvisionnement</t>
        </is>
      </c>
      <c r="D8" s="10" t="inlineStr">
        <is>
          <t>Chef Marketing</t>
        </is>
      </c>
      <c r="J8" s="10" t="inlineStr">
        <is>
          <t>Est</t>
        </is>
      </c>
      <c r="K8" s="10" t="inlineStr">
        <is>
          <t>Gabonaise</t>
        </is>
      </c>
      <c r="N8" t="inlineStr">
        <is>
          <t>Anciennete</t>
        </is>
      </c>
    </row>
    <row r="9">
      <c r="C9" s="10" t="inlineStr">
        <is>
          <t>Cuisine &amp; Restauration</t>
        </is>
      </c>
      <c r="D9" s="10" t="inlineStr">
        <is>
          <t>Chef de service IT</t>
        </is>
      </c>
      <c r="J9" s="10" t="inlineStr">
        <is>
          <t>Adamawa</t>
        </is>
      </c>
      <c r="K9" s="10" t="inlineStr">
        <is>
          <t>Autre</t>
        </is>
      </c>
    </row>
    <row r="10">
      <c r="C10" s="10" t="inlineStr">
        <is>
          <t>Réception &amp; Front Office</t>
        </is>
      </c>
      <c r="D10" s="10" t="inlineStr">
        <is>
          <t>Technicien IT</t>
        </is>
      </c>
      <c r="J10" s="10" t="inlineStr">
        <is>
          <t>Nord</t>
        </is>
      </c>
    </row>
    <row r="11">
      <c r="C11" s="10" t="inlineStr">
        <is>
          <t>Sécurité</t>
        </is>
      </c>
      <c r="D11" s="10" t="inlineStr">
        <is>
          <t>Chef Commercial</t>
        </is>
      </c>
      <c r="J11" s="10" t="inlineStr">
        <is>
          <t>Extreme-Nord</t>
        </is>
      </c>
    </row>
    <row r="12">
      <c r="C12" s="10" t="inlineStr">
        <is>
          <t>Étage &amp; Housekeeping</t>
        </is>
      </c>
      <c r="D12" s="10" t="inlineStr">
        <is>
          <t>Agent Commercial</t>
        </is>
      </c>
    </row>
    <row r="13">
      <c r="C13" s="10" t="n"/>
      <c r="D13" s="10" t="inlineStr">
        <is>
          <t>Chef Logistique</t>
        </is>
      </c>
    </row>
    <row r="14">
      <c r="C14" s="10" t="n"/>
      <c r="D14" s="10" t="inlineStr">
        <is>
          <t>Magasinier</t>
        </is>
      </c>
    </row>
    <row r="15">
      <c r="D15" s="10" t="inlineStr">
        <is>
          <t>Chef Reception</t>
        </is>
      </c>
    </row>
    <row r="16">
      <c r="D16" s="10" t="inlineStr">
        <is>
          <t>Receptionniste</t>
        </is>
      </c>
    </row>
    <row r="17">
      <c r="D17" s="10" t="inlineStr">
        <is>
          <t>Concierge</t>
        </is>
      </c>
    </row>
    <row r="18">
      <c r="D18" s="10" t="inlineStr">
        <is>
          <t>Chef Cuisine</t>
        </is>
      </c>
    </row>
    <row r="19">
      <c r="D19" s="10" t="inlineStr">
        <is>
          <t>Sous-Chef</t>
        </is>
      </c>
    </row>
    <row r="20">
      <c r="D20" s="10" t="inlineStr">
        <is>
          <t>Cuisinier</t>
        </is>
      </c>
    </row>
    <row r="21">
      <c r="D21" s="10" t="inlineStr">
        <is>
          <t>Plongeur</t>
        </is>
      </c>
    </row>
    <row r="22">
      <c r="D22" s="10" t="inlineStr">
        <is>
          <t>Chef Entretien</t>
        </is>
      </c>
    </row>
    <row r="23">
      <c r="D23" s="10" t="inlineStr">
        <is>
          <t>Agent Entretien</t>
        </is>
      </c>
    </row>
    <row r="24">
      <c r="D24" s="10" t="inlineStr">
        <is>
          <t>Chef Sécurité</t>
        </is>
      </c>
    </row>
    <row r="25">
      <c r="D25" s="10" t="inlineStr">
        <is>
          <t>Agent Sécurité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1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8" customWidth="1" min="10" max="10"/>
    <col width="24" customWidth="1" min="11" max="11"/>
  </cols>
  <sheetData>
    <row r="1" ht="15" customHeight="1"/>
    <row r="2" ht="32" customHeight="1">
      <c r="B2" s="1" t="inlineStr">
        <is>
          <t>SUIVI DE LA PARITE HOMME/FEMME (#155)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Service</t>
        </is>
      </c>
      <c r="D4" s="11" t="inlineStr">
        <is>
          <t>Categorie Pro.</t>
        </is>
      </c>
      <c r="E4" s="11" t="inlineStr">
        <is>
          <t>Hommes</t>
        </is>
      </c>
      <c r="F4" s="11" t="inlineStr">
        <is>
          <t>Femmes</t>
        </is>
      </c>
      <c r="G4" s="11" t="inlineStr">
        <is>
          <t>Total</t>
        </is>
      </c>
      <c r="H4" s="11" t="inlineStr">
        <is>
          <t>% Femmes</t>
        </is>
      </c>
      <c r="I4" s="11" t="inlineStr">
        <is>
          <t>Ecart Parite</t>
        </is>
      </c>
      <c r="J4" s="11" t="inlineStr">
        <is>
          <t>Objectif % Femmes</t>
        </is>
      </c>
      <c r="K4" s="11" t="inlineStr">
        <is>
          <t>Statut</t>
        </is>
      </c>
    </row>
    <row r="5" ht="22" customHeight="1">
      <c r="B5" s="12" t="inlineStr">
        <is>
          <t>PAR-001</t>
        </is>
      </c>
      <c r="C5" s="12" t="inlineStr">
        <is>
          <t>Direction Générale</t>
        </is>
      </c>
      <c r="D5" s="12" t="inlineStr">
        <is>
          <t>Cadre dirigeant</t>
        </is>
      </c>
      <c r="E5" s="13" t="n">
        <v>3</v>
      </c>
      <c r="F5" s="13" t="n">
        <v>1</v>
      </c>
      <c r="G5" s="13" t="n"/>
      <c r="H5" s="14" t="n"/>
      <c r="I5" s="13" t="n"/>
      <c r="J5" s="14" t="n">
        <v>0.4</v>
      </c>
      <c r="K5" s="12" t="inlineStr">
        <is>
          <t>En cours d'amelioration</t>
        </is>
      </c>
    </row>
    <row r="6" ht="22" customHeight="1">
      <c r="B6" s="15" t="inlineStr">
        <is>
          <t>PAR-002</t>
        </is>
      </c>
      <c r="C6" s="15" t="inlineStr">
        <is>
          <t>Service Client</t>
        </is>
      </c>
      <c r="D6" s="15" t="inlineStr">
        <is>
          <t>Cadre</t>
        </is>
      </c>
      <c r="E6" s="16" t="n">
        <v>1</v>
      </c>
      <c r="F6" s="16" t="n">
        <v>2</v>
      </c>
      <c r="G6" s="16" t="n"/>
      <c r="H6" s="17" t="n"/>
      <c r="I6" s="16" t="n"/>
      <c r="J6" s="17" t="n">
        <v>0.5</v>
      </c>
      <c r="K6" s="15" t="inlineStr">
        <is>
          <t>Conforme</t>
        </is>
      </c>
    </row>
    <row r="7" ht="22" customHeight="1">
      <c r="B7" s="12" t="inlineStr">
        <is>
          <t>PAR-003</t>
        </is>
      </c>
      <c r="C7" s="12" t="inlineStr">
        <is>
          <t>Réception &amp; Front Office</t>
        </is>
      </c>
      <c r="D7" s="12" t="inlineStr">
        <is>
          <t>Employe</t>
        </is>
      </c>
      <c r="E7" s="13" t="n">
        <v>6</v>
      </c>
      <c r="F7" s="13" t="n">
        <v>8</v>
      </c>
      <c r="G7" s="13" t="n"/>
      <c r="H7" s="14" t="n"/>
      <c r="I7" s="13" t="n"/>
      <c r="J7" s="14" t="n">
        <v>0.5</v>
      </c>
      <c r="K7" s="12" t="inlineStr">
        <is>
          <t>Conforme</t>
        </is>
      </c>
    </row>
    <row r="8" ht="22" customHeight="1">
      <c r="B8" s="15" t="inlineStr">
        <is>
          <t>PAR-004</t>
        </is>
      </c>
      <c r="C8" s="15" t="inlineStr">
        <is>
          <t>Cuisine &amp; Restauration</t>
        </is>
      </c>
      <c r="D8" s="15" t="inlineStr">
        <is>
          <t>Employe</t>
        </is>
      </c>
      <c r="E8" s="16" t="n">
        <v>15</v>
      </c>
      <c r="F8" s="16" t="n">
        <v>7</v>
      </c>
      <c r="G8" s="16" t="n"/>
      <c r="H8" s="17" t="n"/>
      <c r="I8" s="16" t="n"/>
      <c r="J8" s="17" t="n">
        <v>0.35</v>
      </c>
      <c r="K8" s="15" t="inlineStr">
        <is>
          <t>En cours d'amelioration</t>
        </is>
      </c>
    </row>
    <row r="9" ht="22" customHeight="1">
      <c r="B9" s="12" t="inlineStr">
        <is>
          <t>PAR-005</t>
        </is>
      </c>
      <c r="C9" s="12" t="inlineStr">
        <is>
          <t>Maintenance</t>
        </is>
      </c>
      <c r="D9" s="12" t="inlineStr">
        <is>
          <t>Employe</t>
        </is>
      </c>
      <c r="E9" s="13" t="n">
        <v>8</v>
      </c>
      <c r="F9" s="13" t="n">
        <v>2</v>
      </c>
      <c r="G9" s="13" t="n"/>
      <c r="H9" s="14" t="n"/>
      <c r="I9" s="13" t="n"/>
      <c r="J9" s="14" t="n">
        <v>0.3</v>
      </c>
      <c r="K9" s="12" t="inlineStr">
        <is>
          <t>Non conforme</t>
        </is>
      </c>
    </row>
    <row r="10" ht="22" customHeight="1">
      <c r="B10" s="15" t="inlineStr">
        <is>
          <t>PAR-006</t>
        </is>
      </c>
      <c r="C10" s="15" t="inlineStr">
        <is>
          <t>Sécurité</t>
        </is>
      </c>
      <c r="D10" s="15" t="inlineStr">
        <is>
          <t>Employe</t>
        </is>
      </c>
      <c r="E10" s="16" t="n">
        <v>10</v>
      </c>
      <c r="F10" s="16" t="n">
        <v>0</v>
      </c>
      <c r="G10" s="16" t="n"/>
      <c r="H10" s="17" t="n"/>
      <c r="I10" s="16" t="n"/>
      <c r="J10" s="17" t="n">
        <v>0.25</v>
      </c>
      <c r="K10" s="15" t="inlineStr">
        <is>
          <t>Non conforme</t>
        </is>
      </c>
    </row>
    <row r="11" ht="22" customHeight="1">
      <c r="B11" s="12" t="inlineStr">
        <is>
          <t>PAR-007</t>
        </is>
      </c>
      <c r="C11" s="12" t="inlineStr">
        <is>
          <t>Finance &amp; Comptabilité</t>
        </is>
      </c>
      <c r="D11" s="12" t="inlineStr">
        <is>
          <t>Cadre</t>
        </is>
      </c>
      <c r="E11" s="13" t="n">
        <v>2</v>
      </c>
      <c r="F11" s="13" t="n">
        <v>2</v>
      </c>
      <c r="G11" s="13" t="n"/>
      <c r="H11" s="14" t="n"/>
      <c r="I11" s="13" t="n"/>
      <c r="J11" s="14" t="n">
        <v>0.45</v>
      </c>
      <c r="K11" s="12" t="inlineStr">
        <is>
          <t>Conforme</t>
        </is>
      </c>
    </row>
    <row r="12" ht="22" customHeight="1">
      <c r="B12" s="15" t="inlineStr">
        <is>
          <t>PAR-008</t>
        </is>
      </c>
      <c r="C12" s="15" t="inlineStr">
        <is>
          <t>Informatique</t>
        </is>
      </c>
      <c r="D12" s="15" t="inlineStr">
        <is>
          <t>Cadre</t>
        </is>
      </c>
      <c r="E12" s="16" t="n">
        <v>2</v>
      </c>
      <c r="F12" s="16" t="n">
        <v>0</v>
      </c>
      <c r="G12" s="16" t="n"/>
      <c r="H12" s="17" t="n"/>
      <c r="I12" s="16" t="n"/>
      <c r="J12" s="17" t="n">
        <v>0.3</v>
      </c>
      <c r="K12" s="15" t="inlineStr">
        <is>
          <t>Non conforme</t>
        </is>
      </c>
    </row>
    <row r="13" ht="22" customHeight="1">
      <c r="B13" s="18">
        <f>IF(C13="","PAR-"&amp;TEXT(COUNTA($C$5:C13),"000"))</f>
        <v/>
      </c>
      <c r="C13" s="12" t="n"/>
      <c r="D13" s="12" t="n"/>
      <c r="E13" s="13" t="n"/>
      <c r="F13" s="13" t="n"/>
      <c r="G13" s="13">
        <f>E13+F13</f>
        <v/>
      </c>
      <c r="H13" s="14">
        <f>IF(G13="","",F13/G13)</f>
        <v/>
      </c>
      <c r="I13" s="13">
        <f>IF(G13="","",E13-F13)</f>
        <v/>
      </c>
      <c r="J13" s="14" t="n"/>
      <c r="K13" s="12" t="n"/>
    </row>
    <row r="14" ht="22" customHeight="1">
      <c r="B14" s="19">
        <f>IF(C14="","PAR-"&amp;TEXT(COUNTA($C$5:C14),"000"))</f>
        <v/>
      </c>
      <c r="C14" s="15" t="n"/>
      <c r="D14" s="15" t="n"/>
      <c r="E14" s="16" t="n"/>
      <c r="F14" s="16" t="n"/>
      <c r="G14" s="16">
        <f>E14+F14</f>
        <v/>
      </c>
      <c r="H14" s="17">
        <f>IF(G14="","",F14/G14)</f>
        <v/>
      </c>
      <c r="I14" s="16">
        <f>IF(G14="","",E14-F14)</f>
        <v/>
      </c>
      <c r="J14" s="17" t="n"/>
      <c r="K14" s="15" t="n"/>
    </row>
    <row r="15" ht="22" customHeight="1">
      <c r="B15" s="18">
        <f>IF(C15="","PAR-"&amp;TEXT(COUNTA($C$5:C15),"000"))</f>
        <v/>
      </c>
      <c r="C15" s="12" t="n"/>
      <c r="D15" s="12" t="n"/>
      <c r="E15" s="13" t="n"/>
      <c r="F15" s="13" t="n"/>
      <c r="G15" s="13">
        <f>E15+F15</f>
        <v/>
      </c>
      <c r="H15" s="14">
        <f>IF(G15="","",F15/G15)</f>
        <v/>
      </c>
      <c r="I15" s="13">
        <f>IF(G15="","",E15-F15)</f>
        <v/>
      </c>
      <c r="J15" s="14" t="n"/>
      <c r="K15" s="12" t="n"/>
    </row>
    <row r="16" ht="22" customHeight="1">
      <c r="B16" s="19">
        <f>IF(C16="","PAR-"&amp;TEXT(COUNTA($C$5:C16),"000"))</f>
        <v/>
      </c>
      <c r="C16" s="15" t="n"/>
      <c r="D16" s="15" t="n"/>
      <c r="E16" s="16" t="n"/>
      <c r="F16" s="16" t="n"/>
      <c r="G16" s="16">
        <f>E16+F16</f>
        <v/>
      </c>
      <c r="H16" s="17">
        <f>IF(G16="","",F16/G16)</f>
        <v/>
      </c>
      <c r="I16" s="16">
        <f>IF(G16="","",E16-F16)</f>
        <v/>
      </c>
      <c r="J16" s="17" t="n"/>
      <c r="K16" s="15" t="n"/>
    </row>
    <row r="17" ht="22" customHeight="1">
      <c r="B17" s="18">
        <f>IF(C17="","PAR-"&amp;TEXT(COUNTA($C$5:C17),"000"))</f>
        <v/>
      </c>
      <c r="C17" s="12" t="n"/>
      <c r="D17" s="12" t="n"/>
      <c r="E17" s="13" t="n"/>
      <c r="F17" s="13" t="n"/>
      <c r="G17" s="13">
        <f>E17+F17</f>
        <v/>
      </c>
      <c r="H17" s="14">
        <f>IF(G17="","",F17/G17)</f>
        <v/>
      </c>
      <c r="I17" s="13">
        <f>IF(G17="","",E17-F17)</f>
        <v/>
      </c>
      <c r="J17" s="14" t="n"/>
      <c r="K17" s="12" t="n"/>
    </row>
    <row r="18" ht="22" customHeight="1">
      <c r="B18" s="19">
        <f>IF(C18="","PAR-"&amp;TEXT(COUNTA($C$5:C18),"000"))</f>
        <v/>
      </c>
      <c r="C18" s="15" t="n"/>
      <c r="D18" s="15" t="n"/>
      <c r="E18" s="16" t="n"/>
      <c r="F18" s="16" t="n"/>
      <c r="G18" s="16">
        <f>E18+F18</f>
        <v/>
      </c>
      <c r="H18" s="17">
        <f>IF(G18="","",F18/G18)</f>
        <v/>
      </c>
      <c r="I18" s="16">
        <f>IF(G18="","",E18-F18)</f>
        <v/>
      </c>
      <c r="J18" s="17" t="n"/>
      <c r="K18" s="15" t="n"/>
    </row>
    <row r="19" ht="22" customHeight="1">
      <c r="B19" s="18">
        <f>IF(C19="","PAR-"&amp;TEXT(COUNTA($C$5:C19),"000"))</f>
        <v/>
      </c>
      <c r="C19" s="12" t="n"/>
      <c r="D19" s="12" t="n"/>
      <c r="E19" s="13" t="n"/>
      <c r="F19" s="13" t="n"/>
      <c r="G19" s="13">
        <f>E19+F19</f>
        <v/>
      </c>
      <c r="H19" s="14">
        <f>IF(G19="","",F19/G19)</f>
        <v/>
      </c>
      <c r="I19" s="13">
        <f>IF(G19="","",E19-F19)</f>
        <v/>
      </c>
      <c r="J19" s="14" t="n"/>
      <c r="K19" s="12" t="n"/>
    </row>
    <row r="20" ht="22" customHeight="1">
      <c r="B20" s="19">
        <f>IF(C20="","PAR-"&amp;TEXT(COUNTA($C$5:C20),"000"))</f>
        <v/>
      </c>
      <c r="C20" s="15" t="n"/>
      <c r="D20" s="15" t="n"/>
      <c r="E20" s="16" t="n"/>
      <c r="F20" s="16" t="n"/>
      <c r="G20" s="16">
        <f>E20+F20</f>
        <v/>
      </c>
      <c r="H20" s="17">
        <f>IF(G20="","",F20/G20)</f>
        <v/>
      </c>
      <c r="I20" s="16">
        <f>IF(G20="","",E20-F20)</f>
        <v/>
      </c>
      <c r="J20" s="17" t="n"/>
      <c r="K20" s="15" t="n"/>
    </row>
    <row r="21" ht="22" customHeight="1">
      <c r="B21" s="18">
        <f>IF(C21="","PAR-"&amp;TEXT(COUNTA($C$5:C21),"000"))</f>
        <v/>
      </c>
      <c r="C21" s="12" t="n"/>
      <c r="D21" s="12" t="n"/>
      <c r="E21" s="13" t="n"/>
      <c r="F21" s="13" t="n"/>
      <c r="G21" s="13">
        <f>E21+F21</f>
        <v/>
      </c>
      <c r="H21" s="14">
        <f>IF(G21="","",F21/G21)</f>
        <v/>
      </c>
      <c r="I21" s="13">
        <f>IF(G21="","",E21-F21)</f>
        <v/>
      </c>
      <c r="J21" s="14" t="n"/>
      <c r="K21" s="12" t="n"/>
    </row>
    <row r="22" ht="22" customHeight="1">
      <c r="B22" s="19">
        <f>IF(C22="","PAR-"&amp;TEXT(COUNTA($C$5:C22),"000"))</f>
        <v/>
      </c>
      <c r="C22" s="15" t="n"/>
      <c r="D22" s="15" t="n"/>
      <c r="E22" s="16" t="n"/>
      <c r="F22" s="16" t="n"/>
      <c r="G22" s="16">
        <f>E22+F22</f>
        <v/>
      </c>
      <c r="H22" s="17">
        <f>IF(G22="","",F22/G22)</f>
        <v/>
      </c>
      <c r="I22" s="16">
        <f>IF(G22="","",E22-F22)</f>
        <v/>
      </c>
      <c r="J22" s="17" t="n"/>
      <c r="K22" s="15" t="n"/>
    </row>
    <row r="23" ht="22" customHeight="1">
      <c r="B23" s="18">
        <f>IF(C23="","PAR-"&amp;TEXT(COUNTA($C$5:C23),"000"))</f>
        <v/>
      </c>
      <c r="C23" s="12" t="n"/>
      <c r="D23" s="12" t="n"/>
      <c r="E23" s="13" t="n"/>
      <c r="F23" s="13" t="n"/>
      <c r="G23" s="13">
        <f>E23+F23</f>
        <v/>
      </c>
      <c r="H23" s="14">
        <f>IF(G23="","",F23/G23)</f>
        <v/>
      </c>
      <c r="I23" s="13">
        <f>IF(G23="","",E23-F23)</f>
        <v/>
      </c>
      <c r="J23" s="14" t="n"/>
      <c r="K23" s="12" t="n"/>
    </row>
    <row r="24" ht="22" customHeight="1">
      <c r="B24" s="19">
        <f>IF(C24="","PAR-"&amp;TEXT(COUNTA($C$5:C24),"000"))</f>
        <v/>
      </c>
      <c r="C24" s="15" t="n"/>
      <c r="D24" s="15" t="n"/>
      <c r="E24" s="16" t="n"/>
      <c r="F24" s="16" t="n"/>
      <c r="G24" s="16">
        <f>E24+F24</f>
        <v/>
      </c>
      <c r="H24" s="17">
        <f>IF(G24="","",F24/G24)</f>
        <v/>
      </c>
      <c r="I24" s="16">
        <f>IF(G24="","",E24-F24)</f>
        <v/>
      </c>
      <c r="J24" s="17" t="n"/>
      <c r="K24" s="15" t="n"/>
    </row>
    <row r="25" ht="22" customHeight="1">
      <c r="B25" s="18">
        <f>IF(C25="","PAR-"&amp;TEXT(COUNTA($C$5:C25),"000"))</f>
        <v/>
      </c>
      <c r="C25" s="12" t="n"/>
      <c r="D25" s="12" t="n"/>
      <c r="E25" s="13" t="n"/>
      <c r="F25" s="13" t="n"/>
      <c r="G25" s="13">
        <f>E25+F25</f>
        <v/>
      </c>
      <c r="H25" s="14">
        <f>IF(G25="","",F25/G25)</f>
        <v/>
      </c>
      <c r="I25" s="13">
        <f>IF(G25="","",E25-F25)</f>
        <v/>
      </c>
      <c r="J25" s="14" t="n"/>
      <c r="K25" s="12" t="n"/>
    </row>
    <row r="26" ht="22" customHeight="1">
      <c r="B26" s="19">
        <f>IF(C26="","PAR-"&amp;TEXT(COUNTA($C$5:C26),"000"))</f>
        <v/>
      </c>
      <c r="C26" s="15" t="n"/>
      <c r="D26" s="15" t="n"/>
      <c r="E26" s="16" t="n"/>
      <c r="F26" s="16" t="n"/>
      <c r="G26" s="16">
        <f>E26+F26</f>
        <v/>
      </c>
      <c r="H26" s="17">
        <f>IF(G26="","",F26/G26)</f>
        <v/>
      </c>
      <c r="I26" s="16">
        <f>IF(G26="","",E26-F26)</f>
        <v/>
      </c>
      <c r="J26" s="17" t="n"/>
      <c r="K26" s="15" t="n"/>
    </row>
    <row r="27" ht="22" customHeight="1">
      <c r="B27" s="18">
        <f>IF(C27="","PAR-"&amp;TEXT(COUNTA($C$5:C27),"000"))</f>
        <v/>
      </c>
      <c r="C27" s="12" t="n"/>
      <c r="D27" s="12" t="n"/>
      <c r="E27" s="13" t="n"/>
      <c r="F27" s="13" t="n"/>
      <c r="G27" s="13">
        <f>E27+F27</f>
        <v/>
      </c>
      <c r="H27" s="14">
        <f>IF(G27="","",F27/G27)</f>
        <v/>
      </c>
      <c r="I27" s="13">
        <f>IF(G27="","",E27-F27)</f>
        <v/>
      </c>
      <c r="J27" s="14" t="n"/>
      <c r="K27" s="12" t="n"/>
    </row>
    <row r="28" ht="22" customHeight="1">
      <c r="B28" s="19">
        <f>IF(C28="","PAR-"&amp;TEXT(COUNTA($C$5:C28),"000"))</f>
        <v/>
      </c>
      <c r="C28" s="15" t="n"/>
      <c r="D28" s="15" t="n"/>
      <c r="E28" s="16" t="n"/>
      <c r="F28" s="16" t="n"/>
      <c r="G28" s="16">
        <f>E28+F28</f>
        <v/>
      </c>
      <c r="H28" s="17">
        <f>IF(G28="","",F28/G28)</f>
        <v/>
      </c>
      <c r="I28" s="16">
        <f>IF(G28="","",E28-F28)</f>
        <v/>
      </c>
      <c r="J28" s="17" t="n"/>
      <c r="K28" s="15" t="n"/>
    </row>
    <row r="29" ht="22" customHeight="1">
      <c r="B29" s="18">
        <f>IF(C29="","PAR-"&amp;TEXT(COUNTA($C$5:C29),"000"))</f>
        <v/>
      </c>
      <c r="C29" s="12" t="n"/>
      <c r="D29" s="12" t="n"/>
      <c r="E29" s="13" t="n"/>
      <c r="F29" s="13" t="n"/>
      <c r="G29" s="13">
        <f>E29+F29</f>
        <v/>
      </c>
      <c r="H29" s="14">
        <f>IF(G29="","",F29/G29)</f>
        <v/>
      </c>
      <c r="I29" s="13">
        <f>IF(G29="","",E29-F29)</f>
        <v/>
      </c>
      <c r="J29" s="14" t="n"/>
      <c r="K29" s="12" t="n"/>
    </row>
    <row r="30" ht="22" customHeight="1">
      <c r="B30" s="19">
        <f>IF(C30="","PAR-"&amp;TEXT(COUNTA($C$5:C30),"000"))</f>
        <v/>
      </c>
      <c r="C30" s="15" t="n"/>
      <c r="D30" s="15" t="n"/>
      <c r="E30" s="16" t="n"/>
      <c r="F30" s="16" t="n"/>
      <c r="G30" s="16">
        <f>E30+F30</f>
        <v/>
      </c>
      <c r="H30" s="17">
        <f>IF(G30="","",F30/G30)</f>
        <v/>
      </c>
      <c r="I30" s="16">
        <f>IF(G30="","",E30-F30)</f>
        <v/>
      </c>
      <c r="J30" s="17" t="n"/>
      <c r="K30" s="15" t="n"/>
    </row>
    <row r="31" ht="22" customHeight="1">
      <c r="B31" s="18">
        <f>IF(C31="","PAR-"&amp;TEXT(COUNTA($C$5:C31),"000"))</f>
        <v/>
      </c>
      <c r="C31" s="12" t="n"/>
      <c r="D31" s="12" t="n"/>
      <c r="E31" s="13" t="n"/>
      <c r="F31" s="13" t="n"/>
      <c r="G31" s="13">
        <f>E31+F31</f>
        <v/>
      </c>
      <c r="H31" s="14">
        <f>IF(G31="","",F31/G31)</f>
        <v/>
      </c>
      <c r="I31" s="13">
        <f>IF(G31="","",E31-F31)</f>
        <v/>
      </c>
      <c r="J31" s="14" t="n"/>
      <c r="K31" s="12" t="n"/>
    </row>
    <row r="32" ht="22" customHeight="1">
      <c r="B32" s="19">
        <f>IF(C32="","PAR-"&amp;TEXT(COUNTA($C$5:C32),"000"))</f>
        <v/>
      </c>
      <c r="C32" s="15" t="n"/>
      <c r="D32" s="15" t="n"/>
      <c r="E32" s="16" t="n"/>
      <c r="F32" s="16" t="n"/>
      <c r="G32" s="16">
        <f>E32+F32</f>
        <v/>
      </c>
      <c r="H32" s="17">
        <f>IF(G32="","",F32/G32)</f>
        <v/>
      </c>
      <c r="I32" s="16">
        <f>IF(G32="","",E32-F32)</f>
        <v/>
      </c>
      <c r="J32" s="17" t="n"/>
      <c r="K32" s="15" t="n"/>
    </row>
    <row r="33" ht="22" customHeight="1">
      <c r="B33" s="18">
        <f>IF(C33="","PAR-"&amp;TEXT(COUNTA($C$5:C33),"000"))</f>
        <v/>
      </c>
      <c r="C33" s="12" t="n"/>
      <c r="D33" s="12" t="n"/>
      <c r="E33" s="13" t="n"/>
      <c r="F33" s="13" t="n"/>
      <c r="G33" s="13">
        <f>E33+F33</f>
        <v/>
      </c>
      <c r="H33" s="14">
        <f>IF(G33="","",F33/G33)</f>
        <v/>
      </c>
      <c r="I33" s="13">
        <f>IF(G33="","",E33-F33)</f>
        <v/>
      </c>
      <c r="J33" s="14" t="n"/>
      <c r="K33" s="12" t="n"/>
    </row>
    <row r="34" ht="22" customHeight="1">
      <c r="B34" s="19">
        <f>IF(C34="","PAR-"&amp;TEXT(COUNTA($C$5:C34),"000"))</f>
        <v/>
      </c>
      <c r="C34" s="15" t="n"/>
      <c r="D34" s="15" t="n"/>
      <c r="E34" s="16" t="n"/>
      <c r="F34" s="16" t="n"/>
      <c r="G34" s="16">
        <f>E34+F34</f>
        <v/>
      </c>
      <c r="H34" s="17">
        <f>IF(G34="","",F34/G34)</f>
        <v/>
      </c>
      <c r="I34" s="16">
        <f>IF(G34="","",E34-F34)</f>
        <v/>
      </c>
      <c r="J34" s="17" t="n"/>
      <c r="K34" s="15" t="n"/>
    </row>
    <row r="35" ht="22" customHeight="1">
      <c r="B35" s="18">
        <f>IF(C35="","PAR-"&amp;TEXT(COUNTA($C$5:C35),"000"))</f>
        <v/>
      </c>
      <c r="C35" s="12" t="n"/>
      <c r="D35" s="12" t="n"/>
      <c r="E35" s="13" t="n"/>
      <c r="F35" s="13" t="n"/>
      <c r="G35" s="13">
        <f>E35+F35</f>
        <v/>
      </c>
      <c r="H35" s="14">
        <f>IF(G35="","",F35/G35)</f>
        <v/>
      </c>
      <c r="I35" s="13">
        <f>IF(G35="","",E35-F35)</f>
        <v/>
      </c>
      <c r="J35" s="14" t="n"/>
      <c r="K35" s="12" t="n"/>
    </row>
    <row r="36" ht="22" customHeight="1">
      <c r="B36" s="19">
        <f>IF(C36="","PAR-"&amp;TEXT(COUNTA($C$5:C36),"000"))</f>
        <v/>
      </c>
      <c r="C36" s="15" t="n"/>
      <c r="D36" s="15" t="n"/>
      <c r="E36" s="16" t="n"/>
      <c r="F36" s="16" t="n"/>
      <c r="G36" s="16">
        <f>E36+F36</f>
        <v/>
      </c>
      <c r="H36" s="17">
        <f>IF(G36="","",F36/G36)</f>
        <v/>
      </c>
      <c r="I36" s="16">
        <f>IF(G36="","",E36-F36)</f>
        <v/>
      </c>
      <c r="J36" s="17" t="n"/>
      <c r="K36" s="15" t="n"/>
    </row>
    <row r="37" ht="22" customHeight="1">
      <c r="B37" s="18">
        <f>IF(C37="","PAR-"&amp;TEXT(COUNTA($C$5:C37),"000"))</f>
        <v/>
      </c>
      <c r="C37" s="12" t="n"/>
      <c r="D37" s="12" t="n"/>
      <c r="E37" s="13" t="n"/>
      <c r="F37" s="13" t="n"/>
      <c r="G37" s="13">
        <f>E37+F37</f>
        <v/>
      </c>
      <c r="H37" s="14">
        <f>IF(G37="","",F37/G37)</f>
        <v/>
      </c>
      <c r="I37" s="13">
        <f>IF(G37="","",E37-F37)</f>
        <v/>
      </c>
      <c r="J37" s="14" t="n"/>
      <c r="K37" s="12" t="n"/>
    </row>
    <row r="38" ht="22" customHeight="1">
      <c r="B38" s="19">
        <f>IF(C38="","PAR-"&amp;TEXT(COUNTA($C$5:C38),"000"))</f>
        <v/>
      </c>
      <c r="C38" s="15" t="n"/>
      <c r="D38" s="15" t="n"/>
      <c r="E38" s="16" t="n"/>
      <c r="F38" s="16" t="n"/>
      <c r="G38" s="16">
        <f>E38+F38</f>
        <v/>
      </c>
      <c r="H38" s="17">
        <f>IF(G38="","",F38/G38)</f>
        <v/>
      </c>
      <c r="I38" s="16">
        <f>IF(G38="","",E38-F38)</f>
        <v/>
      </c>
      <c r="J38" s="17" t="n"/>
      <c r="K38" s="15" t="n"/>
    </row>
    <row r="39" ht="22" customHeight="1">
      <c r="B39" s="18">
        <f>IF(C39="","PAR-"&amp;TEXT(COUNTA($C$5:C39),"000"))</f>
        <v/>
      </c>
      <c r="C39" s="12" t="n"/>
      <c r="D39" s="12" t="n"/>
      <c r="E39" s="13" t="n"/>
      <c r="F39" s="13" t="n"/>
      <c r="G39" s="13">
        <f>E39+F39</f>
        <v/>
      </c>
      <c r="H39" s="14">
        <f>IF(G39="","",F39/G39)</f>
        <v/>
      </c>
      <c r="I39" s="13">
        <f>IF(G39="","",E39-F39)</f>
        <v/>
      </c>
      <c r="J39" s="14" t="n"/>
      <c r="K39" s="12" t="n"/>
    </row>
    <row r="40" ht="22" customHeight="1">
      <c r="B40" s="19">
        <f>IF(C40="","PAR-"&amp;TEXT(COUNTA($C$5:C40),"000"))</f>
        <v/>
      </c>
      <c r="C40" s="15" t="n"/>
      <c r="D40" s="15" t="n"/>
      <c r="E40" s="16" t="n"/>
      <c r="F40" s="16" t="n"/>
      <c r="G40" s="16">
        <f>E40+F40</f>
        <v/>
      </c>
      <c r="H40" s="17">
        <f>IF(G40="","",F40/G40)</f>
        <v/>
      </c>
      <c r="I40" s="16">
        <f>IF(G40="","",E40-F40)</f>
        <v/>
      </c>
      <c r="J40" s="17" t="n"/>
      <c r="K40" s="15" t="n"/>
    </row>
    <row r="41" ht="22" customHeight="1">
      <c r="B41" s="18">
        <f>IF(C41="","PAR-"&amp;TEXT(COUNTA($C$5:C41),"000"))</f>
        <v/>
      </c>
      <c r="C41" s="12" t="n"/>
      <c r="D41" s="12" t="n"/>
      <c r="E41" s="13" t="n"/>
      <c r="F41" s="13" t="n"/>
      <c r="G41" s="13">
        <f>E41+F41</f>
        <v/>
      </c>
      <c r="H41" s="14">
        <f>IF(G41="","",F41/G41)</f>
        <v/>
      </c>
      <c r="I41" s="13">
        <f>IF(G41="","",E41-F41)</f>
        <v/>
      </c>
      <c r="J41" s="14" t="n"/>
      <c r="K41" s="12" t="n"/>
    </row>
    <row r="42" ht="22" customHeight="1">
      <c r="B42" s="19">
        <f>IF(C42="","PAR-"&amp;TEXT(COUNTA($C$5:C42),"000"))</f>
        <v/>
      </c>
      <c r="C42" s="15" t="n"/>
      <c r="D42" s="15" t="n"/>
      <c r="E42" s="16" t="n"/>
      <c r="F42" s="16" t="n"/>
      <c r="G42" s="16">
        <f>E42+F42</f>
        <v/>
      </c>
      <c r="H42" s="17">
        <f>IF(G42="","",F42/G42)</f>
        <v/>
      </c>
      <c r="I42" s="16">
        <f>IF(G42="","",E42-F42)</f>
        <v/>
      </c>
      <c r="J42" s="17" t="n"/>
      <c r="K42" s="15" t="n"/>
    </row>
    <row r="43" ht="22" customHeight="1">
      <c r="B43" s="18">
        <f>IF(C43="","PAR-"&amp;TEXT(COUNTA($C$5:C43),"000"))</f>
        <v/>
      </c>
      <c r="C43" s="12" t="n"/>
      <c r="D43" s="12" t="n"/>
      <c r="E43" s="13" t="n"/>
      <c r="F43" s="13" t="n"/>
      <c r="G43" s="13">
        <f>E43+F43</f>
        <v/>
      </c>
      <c r="H43" s="14">
        <f>IF(G43="","",F43/G43)</f>
        <v/>
      </c>
      <c r="I43" s="13">
        <f>IF(G43="","",E43-F43)</f>
        <v/>
      </c>
      <c r="J43" s="14" t="n"/>
      <c r="K43" s="12" t="n"/>
    </row>
    <row r="44" ht="22" customHeight="1">
      <c r="B44" s="19">
        <f>IF(C44="","PAR-"&amp;TEXT(COUNTA($C$5:C44),"000"))</f>
        <v/>
      </c>
      <c r="C44" s="15" t="n"/>
      <c r="D44" s="15" t="n"/>
      <c r="E44" s="16" t="n"/>
      <c r="F44" s="16" t="n"/>
      <c r="G44" s="16">
        <f>E44+F44</f>
        <v/>
      </c>
      <c r="H44" s="17">
        <f>IF(G44="","",F44/G44)</f>
        <v/>
      </c>
      <c r="I44" s="16">
        <f>IF(G44="","",E44-F44)</f>
        <v/>
      </c>
      <c r="J44" s="17" t="n"/>
      <c r="K44" s="15" t="n"/>
    </row>
    <row r="45" ht="22" customHeight="1">
      <c r="B45" s="18">
        <f>IF(C45="","PAR-"&amp;TEXT(COUNTA($C$5:C45),"000"))</f>
        <v/>
      </c>
      <c r="C45" s="12" t="n"/>
      <c r="D45" s="12" t="n"/>
      <c r="E45" s="13" t="n"/>
      <c r="F45" s="13" t="n"/>
      <c r="G45" s="13">
        <f>E45+F45</f>
        <v/>
      </c>
      <c r="H45" s="14">
        <f>IF(G45="","",F45/G45)</f>
        <v/>
      </c>
      <c r="I45" s="13">
        <f>IF(G45="","",E45-F45)</f>
        <v/>
      </c>
      <c r="J45" s="14" t="n"/>
      <c r="K45" s="12" t="n"/>
    </row>
    <row r="46" ht="22" customHeight="1">
      <c r="B46" s="19">
        <f>IF(C46="","PAR-"&amp;TEXT(COUNTA($C$5:C46),"000"))</f>
        <v/>
      </c>
      <c r="C46" s="15" t="n"/>
      <c r="D46" s="15" t="n"/>
      <c r="E46" s="16" t="n"/>
      <c r="F46" s="16" t="n"/>
      <c r="G46" s="16">
        <f>E46+F46</f>
        <v/>
      </c>
      <c r="H46" s="17">
        <f>IF(G46="","",F46/G46)</f>
        <v/>
      </c>
      <c r="I46" s="16">
        <f>IF(G46="","",E46-F46)</f>
        <v/>
      </c>
      <c r="J46" s="17" t="n"/>
      <c r="K46" s="15" t="n"/>
    </row>
    <row r="47" ht="22" customHeight="1">
      <c r="B47" s="18">
        <f>IF(C47="","PAR-"&amp;TEXT(COUNTA($C$5:C47),"000"))</f>
        <v/>
      </c>
      <c r="C47" s="12" t="n"/>
      <c r="D47" s="12" t="n"/>
      <c r="E47" s="13" t="n"/>
      <c r="F47" s="13" t="n"/>
      <c r="G47" s="13">
        <f>E47+F47</f>
        <v/>
      </c>
      <c r="H47" s="14">
        <f>IF(G47="","",F47/G47)</f>
        <v/>
      </c>
      <c r="I47" s="13">
        <f>IF(G47="","",E47-F47)</f>
        <v/>
      </c>
      <c r="J47" s="14" t="n"/>
      <c r="K47" s="12" t="n"/>
    </row>
    <row r="48" ht="22" customHeight="1">
      <c r="B48" s="19">
        <f>IF(C48="","PAR-"&amp;TEXT(COUNTA($C$5:C48),"000"))</f>
        <v/>
      </c>
      <c r="C48" s="15" t="n"/>
      <c r="D48" s="15" t="n"/>
      <c r="E48" s="16" t="n"/>
      <c r="F48" s="16" t="n"/>
      <c r="G48" s="16">
        <f>E48+F48</f>
        <v/>
      </c>
      <c r="H48" s="17">
        <f>IF(G48="","",F48/G48)</f>
        <v/>
      </c>
      <c r="I48" s="16">
        <f>IF(G48="","",E48-F48)</f>
        <v/>
      </c>
      <c r="J48" s="17" t="n"/>
      <c r="K48" s="15" t="n"/>
    </row>
    <row r="49" ht="22" customHeight="1">
      <c r="B49" s="18">
        <f>IF(C49="","PAR-"&amp;TEXT(COUNTA($C$5:C49),"000"))</f>
        <v/>
      </c>
      <c r="C49" s="12" t="n"/>
      <c r="D49" s="12" t="n"/>
      <c r="E49" s="13" t="n"/>
      <c r="F49" s="13" t="n"/>
      <c r="G49" s="13">
        <f>E49+F49</f>
        <v/>
      </c>
      <c r="H49" s="14">
        <f>IF(G49="","",F49/G49)</f>
        <v/>
      </c>
      <c r="I49" s="13">
        <f>IF(G49="","",E49-F49)</f>
        <v/>
      </c>
      <c r="J49" s="14" t="n"/>
      <c r="K49" s="12" t="n"/>
    </row>
    <row r="50" ht="22" customHeight="1">
      <c r="B50" s="19">
        <f>IF(C50="","PAR-"&amp;TEXT(COUNTA($C$5:C50),"000"))</f>
        <v/>
      </c>
      <c r="C50" s="15" t="n"/>
      <c r="D50" s="15" t="n"/>
      <c r="E50" s="16" t="n"/>
      <c r="F50" s="16" t="n"/>
      <c r="G50" s="16">
        <f>E50+F50</f>
        <v/>
      </c>
      <c r="H50" s="17">
        <f>IF(G50="","",F50/G50)</f>
        <v/>
      </c>
      <c r="I50" s="16">
        <f>IF(G50="","",E50-F50)</f>
        <v/>
      </c>
      <c r="J50" s="17" t="n"/>
      <c r="K50" s="15" t="n"/>
    </row>
    <row r="51" ht="22" customHeight="1">
      <c r="B51" s="18">
        <f>IF(C51="","PAR-"&amp;TEXT(COUNTA($C$5:C51),"000"))</f>
        <v/>
      </c>
      <c r="C51" s="12" t="n"/>
      <c r="D51" s="12" t="n"/>
      <c r="E51" s="13" t="n"/>
      <c r="F51" s="13" t="n"/>
      <c r="G51" s="13">
        <f>E51+F51</f>
        <v/>
      </c>
      <c r="H51" s="14">
        <f>IF(G51="","",F51/G51)</f>
        <v/>
      </c>
      <c r="I51" s="13">
        <f>IF(G51="","",E51-F51)</f>
        <v/>
      </c>
      <c r="J51" s="14" t="n"/>
      <c r="K51" s="12" t="n"/>
    </row>
    <row r="52" ht="22" customHeight="1">
      <c r="B52" s="19">
        <f>IF(C52="","PAR-"&amp;TEXT(COUNTA($C$5:C52),"000"))</f>
        <v/>
      </c>
      <c r="C52" s="15" t="n"/>
      <c r="D52" s="15" t="n"/>
      <c r="E52" s="16" t="n"/>
      <c r="F52" s="16" t="n"/>
      <c r="G52" s="16">
        <f>E52+F52</f>
        <v/>
      </c>
      <c r="H52" s="17">
        <f>IF(G52="","",F52/G52)</f>
        <v/>
      </c>
      <c r="I52" s="16">
        <f>IF(G52="","",E52-F52)</f>
        <v/>
      </c>
      <c r="J52" s="17" t="n"/>
      <c r="K52" s="15" t="n"/>
    </row>
    <row r="53" ht="22" customHeight="1">
      <c r="B53" s="18">
        <f>IF(C53="","PAR-"&amp;TEXT(COUNTA($C$5:C53),"000"))</f>
        <v/>
      </c>
      <c r="C53" s="12" t="n"/>
      <c r="D53" s="12" t="n"/>
      <c r="E53" s="13" t="n"/>
      <c r="F53" s="13" t="n"/>
      <c r="G53" s="13">
        <f>E53+F53</f>
        <v/>
      </c>
      <c r="H53" s="14">
        <f>IF(G53="","",F53/G53)</f>
        <v/>
      </c>
      <c r="I53" s="13">
        <f>IF(G53="","",E53-F53)</f>
        <v/>
      </c>
      <c r="J53" s="14" t="n"/>
      <c r="K53" s="12" t="n"/>
    </row>
    <row r="54" ht="22" customHeight="1">
      <c r="B54" s="19">
        <f>IF(C54="","PAR-"&amp;TEXT(COUNTA($C$5:C54),"000"))</f>
        <v/>
      </c>
      <c r="C54" s="15" t="n"/>
      <c r="D54" s="15" t="n"/>
      <c r="E54" s="16" t="n"/>
      <c r="F54" s="16" t="n"/>
      <c r="G54" s="16">
        <f>E54+F54</f>
        <v/>
      </c>
      <c r="H54" s="17">
        <f>IF(G54="","",F54/G54)</f>
        <v/>
      </c>
      <c r="I54" s="16">
        <f>IF(G54="","",E54-F54)</f>
        <v/>
      </c>
      <c r="J54" s="17" t="n"/>
      <c r="K54" s="15" t="n"/>
    </row>
    <row r="55" ht="22" customHeight="1">
      <c r="B55" s="18">
        <f>IF(C55="","PAR-"&amp;TEXT(COUNTA($C$5:C55),"000"))</f>
        <v/>
      </c>
      <c r="C55" s="12" t="n"/>
      <c r="D55" s="12" t="n"/>
      <c r="E55" s="13" t="n"/>
      <c r="F55" s="13" t="n"/>
      <c r="G55" s="13">
        <f>E55+F55</f>
        <v/>
      </c>
      <c r="H55" s="14">
        <f>IF(G55="","",F55/G55)</f>
        <v/>
      </c>
      <c r="I55" s="13">
        <f>IF(G55="","",E55-F55)</f>
        <v/>
      </c>
      <c r="J55" s="14" t="n"/>
      <c r="K55" s="12" t="n"/>
    </row>
    <row r="56" ht="22" customHeight="1">
      <c r="B56" s="19">
        <f>IF(C56="","PAR-"&amp;TEXT(COUNTA($C$5:C56),"000"))</f>
        <v/>
      </c>
      <c r="C56" s="15" t="n"/>
      <c r="D56" s="15" t="n"/>
      <c r="E56" s="16" t="n"/>
      <c r="F56" s="16" t="n"/>
      <c r="G56" s="16">
        <f>E56+F56</f>
        <v/>
      </c>
      <c r="H56" s="17">
        <f>IF(G56="","",F56/G56)</f>
        <v/>
      </c>
      <c r="I56" s="16">
        <f>IF(G56="","",E56-F56)</f>
        <v/>
      </c>
      <c r="J56" s="17" t="n"/>
      <c r="K56" s="15" t="n"/>
    </row>
    <row r="57" ht="22" customHeight="1">
      <c r="B57" s="18">
        <f>IF(C57="","PAR-"&amp;TEXT(COUNTA($C$5:C57),"000"))</f>
        <v/>
      </c>
      <c r="C57" s="12" t="n"/>
      <c r="D57" s="12" t="n"/>
      <c r="E57" s="13" t="n"/>
      <c r="F57" s="13" t="n"/>
      <c r="G57" s="13">
        <f>E57+F57</f>
        <v/>
      </c>
      <c r="H57" s="14">
        <f>IF(G57="","",F57/G57)</f>
        <v/>
      </c>
      <c r="I57" s="13">
        <f>IF(G57="","",E57-F57)</f>
        <v/>
      </c>
      <c r="J57" s="14" t="n"/>
      <c r="K57" s="12" t="n"/>
    </row>
    <row r="58" ht="22" customHeight="1">
      <c r="B58" s="19">
        <f>IF(C58="","PAR-"&amp;TEXT(COUNTA($C$5:C58),"000"))</f>
        <v/>
      </c>
      <c r="C58" s="15" t="n"/>
      <c r="D58" s="15" t="n"/>
      <c r="E58" s="16" t="n"/>
      <c r="F58" s="16" t="n"/>
      <c r="G58" s="16">
        <f>E58+F58</f>
        <v/>
      </c>
      <c r="H58" s="17">
        <f>IF(G58="","",F58/G58)</f>
        <v/>
      </c>
      <c r="I58" s="16">
        <f>IF(G58="","",E58-F58)</f>
        <v/>
      </c>
      <c r="J58" s="17" t="n"/>
      <c r="K58" s="15" t="n"/>
    </row>
    <row r="59" ht="22" customHeight="1">
      <c r="B59" s="18">
        <f>IF(C59="","PAR-"&amp;TEXT(COUNTA($C$5:C59),"000"))</f>
        <v/>
      </c>
      <c r="C59" s="12" t="n"/>
      <c r="D59" s="12" t="n"/>
      <c r="E59" s="13" t="n"/>
      <c r="F59" s="13" t="n"/>
      <c r="G59" s="13">
        <f>E59+F59</f>
        <v/>
      </c>
      <c r="H59" s="14">
        <f>IF(G59="","",F59/G59)</f>
        <v/>
      </c>
      <c r="I59" s="13">
        <f>IF(G59="","",E59-F59)</f>
        <v/>
      </c>
      <c r="J59" s="14" t="n"/>
      <c r="K59" s="12" t="n"/>
    </row>
    <row r="60" ht="22" customHeight="1">
      <c r="B60" s="19">
        <f>IF(C60="","PAR-"&amp;TEXT(COUNTA($C$5:C60),"000"))</f>
        <v/>
      </c>
      <c r="C60" s="15" t="n"/>
      <c r="D60" s="15" t="n"/>
      <c r="E60" s="16" t="n"/>
      <c r="F60" s="16" t="n"/>
      <c r="G60" s="16">
        <f>E60+F60</f>
        <v/>
      </c>
      <c r="H60" s="17">
        <f>IF(G60="","",F60/G60)</f>
        <v/>
      </c>
      <c r="I60" s="16">
        <f>IF(G60="","",E60-F60)</f>
        <v/>
      </c>
      <c r="J60" s="17" t="n"/>
      <c r="K60" s="15" t="n"/>
    </row>
    <row r="61" ht="22" customHeight="1">
      <c r="B61" s="18">
        <f>IF(C61="","PAR-"&amp;TEXT(COUNTA($C$5:C61),"000"))</f>
        <v/>
      </c>
      <c r="C61" s="12" t="n"/>
      <c r="D61" s="12" t="n"/>
      <c r="E61" s="13" t="n"/>
      <c r="F61" s="13" t="n"/>
      <c r="G61" s="13">
        <f>E61+F61</f>
        <v/>
      </c>
      <c r="H61" s="14">
        <f>IF(G61="","",F61/G61)</f>
        <v/>
      </c>
      <c r="I61" s="13">
        <f>IF(G61="","",E61-F61)</f>
        <v/>
      </c>
      <c r="J61" s="14" t="n"/>
      <c r="K61" s="12" t="n"/>
    </row>
    <row r="62" ht="22" customHeight="1">
      <c r="B62" s="19">
        <f>IF(C62="","PAR-"&amp;TEXT(COUNTA($C$5:C62),"000"))</f>
        <v/>
      </c>
      <c r="C62" s="15" t="n"/>
      <c r="D62" s="15" t="n"/>
      <c r="E62" s="16" t="n"/>
      <c r="F62" s="16" t="n"/>
      <c r="G62" s="16">
        <f>E62+F62</f>
        <v/>
      </c>
      <c r="H62" s="17">
        <f>IF(G62="","",F62/G62)</f>
        <v/>
      </c>
      <c r="I62" s="16">
        <f>IF(G62="","",E62-F62)</f>
        <v/>
      </c>
      <c r="J62" s="17" t="n"/>
      <c r="K62" s="15" t="n"/>
    </row>
    <row r="63" ht="22" customHeight="1">
      <c r="B63" s="18">
        <f>IF(C63="","PAR-"&amp;TEXT(COUNTA($C$5:C63),"000"))</f>
        <v/>
      </c>
      <c r="C63" s="12" t="n"/>
      <c r="D63" s="12" t="n"/>
      <c r="E63" s="13" t="n"/>
      <c r="F63" s="13" t="n"/>
      <c r="G63" s="13">
        <f>E63+F63</f>
        <v/>
      </c>
      <c r="H63" s="14">
        <f>IF(G63="","",F63/G63)</f>
        <v/>
      </c>
      <c r="I63" s="13">
        <f>IF(G63="","",E63-F63)</f>
        <v/>
      </c>
      <c r="J63" s="14" t="n"/>
      <c r="K63" s="12" t="n"/>
    </row>
    <row r="64" ht="22" customHeight="1">
      <c r="B64" s="19">
        <f>IF(C64="","PAR-"&amp;TEXT(COUNTA($C$5:C64),"000"))</f>
        <v/>
      </c>
      <c r="C64" s="15" t="n"/>
      <c r="D64" s="15" t="n"/>
      <c r="E64" s="16" t="n"/>
      <c r="F64" s="16" t="n"/>
      <c r="G64" s="16">
        <f>E64+F64</f>
        <v/>
      </c>
      <c r="H64" s="17">
        <f>IF(G64="","",F64/G64)</f>
        <v/>
      </c>
      <c r="I64" s="16">
        <f>IF(G64="","",E64-F64)</f>
        <v/>
      </c>
      <c r="J64" s="17" t="n"/>
      <c r="K64" s="15" t="n"/>
    </row>
    <row r="65" ht="22" customHeight="1">
      <c r="B65" s="18">
        <f>IF(C65="","PAR-"&amp;TEXT(COUNTA($C$5:C65),"000"))</f>
        <v/>
      </c>
      <c r="C65" s="12" t="n"/>
      <c r="D65" s="12" t="n"/>
      <c r="E65" s="13" t="n"/>
      <c r="F65" s="13" t="n"/>
      <c r="G65" s="13">
        <f>E65+F65</f>
        <v/>
      </c>
      <c r="H65" s="14">
        <f>IF(G65="","",F65/G65)</f>
        <v/>
      </c>
      <c r="I65" s="13">
        <f>IF(G65="","",E65-F65)</f>
        <v/>
      </c>
      <c r="J65" s="14" t="n"/>
      <c r="K65" s="12" t="n"/>
    </row>
    <row r="66" ht="22" customHeight="1">
      <c r="B66" s="19">
        <f>IF(C66="","PAR-"&amp;TEXT(COUNTA($C$5:C66),"000"))</f>
        <v/>
      </c>
      <c r="C66" s="15" t="n"/>
      <c r="D66" s="15" t="n"/>
      <c r="E66" s="16" t="n"/>
      <c r="F66" s="16" t="n"/>
      <c r="G66" s="16">
        <f>E66+F66</f>
        <v/>
      </c>
      <c r="H66" s="17">
        <f>IF(G66="","",F66/G66)</f>
        <v/>
      </c>
      <c r="I66" s="16">
        <f>IF(G66="","",E66-F66)</f>
        <v/>
      </c>
      <c r="J66" s="17" t="n"/>
      <c r="K66" s="15" t="n"/>
    </row>
    <row r="67" ht="22" customHeight="1">
      <c r="B67" s="18">
        <f>IF(C67="","PAR-"&amp;TEXT(COUNTA($C$5:C67),"000"))</f>
        <v/>
      </c>
      <c r="C67" s="12" t="n"/>
      <c r="D67" s="12" t="n"/>
      <c r="E67" s="13" t="n"/>
      <c r="F67" s="13" t="n"/>
      <c r="G67" s="13">
        <f>E67+F67</f>
        <v/>
      </c>
      <c r="H67" s="14">
        <f>IF(G67="","",F67/G67)</f>
        <v/>
      </c>
      <c r="I67" s="13">
        <f>IF(G67="","",E67-F67)</f>
        <v/>
      </c>
      <c r="J67" s="14" t="n"/>
      <c r="K67" s="12" t="n"/>
    </row>
    <row r="68" ht="22" customHeight="1">
      <c r="B68" s="19">
        <f>IF(C68="","PAR-"&amp;TEXT(COUNTA($C$5:C68),"000"))</f>
        <v/>
      </c>
      <c r="C68" s="15" t="n"/>
      <c r="D68" s="15" t="n"/>
      <c r="E68" s="16" t="n"/>
      <c r="F68" s="16" t="n"/>
      <c r="G68" s="16">
        <f>E68+F68</f>
        <v/>
      </c>
      <c r="H68" s="17">
        <f>IF(G68="","",F68/G68)</f>
        <v/>
      </c>
      <c r="I68" s="16">
        <f>IF(G68="","",E68-F68)</f>
        <v/>
      </c>
      <c r="J68" s="17" t="n"/>
      <c r="K68" s="15" t="n"/>
    </row>
    <row r="69" ht="22" customHeight="1">
      <c r="B69" s="18">
        <f>IF(C69="","PAR-"&amp;TEXT(COUNTA($C$5:C69),"000"))</f>
        <v/>
      </c>
      <c r="C69" s="12" t="n"/>
      <c r="D69" s="12" t="n"/>
      <c r="E69" s="13" t="n"/>
      <c r="F69" s="13" t="n"/>
      <c r="G69" s="13">
        <f>E69+F69</f>
        <v/>
      </c>
      <c r="H69" s="14">
        <f>IF(G69="","",F69/G69)</f>
        <v/>
      </c>
      <c r="I69" s="13">
        <f>IF(G69="","",E69-F69)</f>
        <v/>
      </c>
      <c r="J69" s="14" t="n"/>
      <c r="K69" s="12" t="n"/>
    </row>
    <row r="70" ht="22" customHeight="1">
      <c r="B70" s="19">
        <f>IF(C70="","PAR-"&amp;TEXT(COUNTA($C$5:C70),"000"))</f>
        <v/>
      </c>
      <c r="C70" s="15" t="n"/>
      <c r="D70" s="15" t="n"/>
      <c r="E70" s="16" t="n"/>
      <c r="F70" s="16" t="n"/>
      <c r="G70" s="16">
        <f>E70+F70</f>
        <v/>
      </c>
      <c r="H70" s="17">
        <f>IF(G70="","",F70/G70)</f>
        <v/>
      </c>
      <c r="I70" s="16">
        <f>IF(G70="","",E70-F70)</f>
        <v/>
      </c>
      <c r="J70" s="17" t="n"/>
      <c r="K70" s="15" t="n"/>
    </row>
    <row r="71" ht="22" customHeight="1">
      <c r="B71" s="18">
        <f>IF(C71="","PAR-"&amp;TEXT(COUNTA($C$5:C71),"000"))</f>
        <v/>
      </c>
      <c r="C71" s="12" t="n"/>
      <c r="D71" s="12" t="n"/>
      <c r="E71" s="13" t="n"/>
      <c r="F71" s="13" t="n"/>
      <c r="G71" s="13">
        <f>E71+F71</f>
        <v/>
      </c>
      <c r="H71" s="14">
        <f>IF(G71="","",F71/G71)</f>
        <v/>
      </c>
      <c r="I71" s="13">
        <f>IF(G71="","",E71-F71)</f>
        <v/>
      </c>
      <c r="J71" s="14" t="n"/>
      <c r="K71" s="12" t="n"/>
    </row>
    <row r="72" ht="22" customHeight="1">
      <c r="B72" s="19">
        <f>IF(C72="","PAR-"&amp;TEXT(COUNTA($C$5:C72),"000"))</f>
        <v/>
      </c>
      <c r="C72" s="15" t="n"/>
      <c r="D72" s="15" t="n"/>
      <c r="E72" s="16" t="n"/>
      <c r="F72" s="16" t="n"/>
      <c r="G72" s="16">
        <f>E72+F72</f>
        <v/>
      </c>
      <c r="H72" s="17">
        <f>IF(G72="","",F72/G72)</f>
        <v/>
      </c>
      <c r="I72" s="16">
        <f>IF(G72="","",E72-F72)</f>
        <v/>
      </c>
      <c r="J72" s="17" t="n"/>
      <c r="K72" s="15" t="n"/>
    </row>
    <row r="73" ht="22" customHeight="1">
      <c r="B73" s="18">
        <f>IF(C73="","PAR-"&amp;TEXT(COUNTA($C$5:C73),"000"))</f>
        <v/>
      </c>
      <c r="C73" s="12" t="n"/>
      <c r="D73" s="12" t="n"/>
      <c r="E73" s="13" t="n"/>
      <c r="F73" s="13" t="n"/>
      <c r="G73" s="13">
        <f>E73+F73</f>
        <v/>
      </c>
      <c r="H73" s="14">
        <f>IF(G73="","",F73/G73)</f>
        <v/>
      </c>
      <c r="I73" s="13">
        <f>IF(G73="","",E73-F73)</f>
        <v/>
      </c>
      <c r="J73" s="14" t="n"/>
      <c r="K73" s="12" t="n"/>
    </row>
    <row r="74" ht="22" customHeight="1">
      <c r="B74" s="19">
        <f>IF(C74="","PAR-"&amp;TEXT(COUNTA($C$5:C74),"000"))</f>
        <v/>
      </c>
      <c r="C74" s="15" t="n"/>
      <c r="D74" s="15" t="n"/>
      <c r="E74" s="16" t="n"/>
      <c r="F74" s="16" t="n"/>
      <c r="G74" s="16">
        <f>E74+F74</f>
        <v/>
      </c>
      <c r="H74" s="17">
        <f>IF(G74="","",F74/G74)</f>
        <v/>
      </c>
      <c r="I74" s="16">
        <f>IF(G74="","",E74-F74)</f>
        <v/>
      </c>
      <c r="J74" s="17" t="n"/>
      <c r="K74" s="15" t="n"/>
    </row>
    <row r="75" ht="22" customHeight="1">
      <c r="B75" s="18">
        <f>IF(C75="","PAR-"&amp;TEXT(COUNTA($C$5:C75),"000"))</f>
        <v/>
      </c>
      <c r="C75" s="12" t="n"/>
      <c r="D75" s="12" t="n"/>
      <c r="E75" s="13" t="n"/>
      <c r="F75" s="13" t="n"/>
      <c r="G75" s="13">
        <f>E75+F75</f>
        <v/>
      </c>
      <c r="H75" s="14">
        <f>IF(G75="","",F75/G75)</f>
        <v/>
      </c>
      <c r="I75" s="13">
        <f>IF(G75="","",E75-F75)</f>
        <v/>
      </c>
      <c r="J75" s="14" t="n"/>
      <c r="K75" s="12" t="n"/>
    </row>
    <row r="76" ht="22" customHeight="1">
      <c r="B76" s="19">
        <f>IF(C76="","PAR-"&amp;TEXT(COUNTA($C$5:C76),"000"))</f>
        <v/>
      </c>
      <c r="C76" s="15" t="n"/>
      <c r="D76" s="15" t="n"/>
      <c r="E76" s="16" t="n"/>
      <c r="F76" s="16" t="n"/>
      <c r="G76" s="16">
        <f>E76+F76</f>
        <v/>
      </c>
      <c r="H76" s="17">
        <f>IF(G76="","",F76/G76)</f>
        <v/>
      </c>
      <c r="I76" s="16">
        <f>IF(G76="","",E76-F76)</f>
        <v/>
      </c>
      <c r="J76" s="17" t="n"/>
      <c r="K76" s="15" t="n"/>
    </row>
    <row r="77" ht="22" customHeight="1">
      <c r="B77" s="18">
        <f>IF(C77="","PAR-"&amp;TEXT(COUNTA($C$5:C77),"000"))</f>
        <v/>
      </c>
      <c r="C77" s="12" t="n"/>
      <c r="D77" s="12" t="n"/>
      <c r="E77" s="13" t="n"/>
      <c r="F77" s="13" t="n"/>
      <c r="G77" s="13">
        <f>E77+F77</f>
        <v/>
      </c>
      <c r="H77" s="14">
        <f>IF(G77="","",F77/G77)</f>
        <v/>
      </c>
      <c r="I77" s="13">
        <f>IF(G77="","",E77-F77)</f>
        <v/>
      </c>
      <c r="J77" s="14" t="n"/>
      <c r="K77" s="12" t="n"/>
    </row>
    <row r="78" ht="22" customHeight="1">
      <c r="B78" s="19">
        <f>IF(C78="","PAR-"&amp;TEXT(COUNTA($C$5:C78),"000"))</f>
        <v/>
      </c>
      <c r="C78" s="15" t="n"/>
      <c r="D78" s="15" t="n"/>
      <c r="E78" s="16" t="n"/>
      <c r="F78" s="16" t="n"/>
      <c r="G78" s="16">
        <f>E78+F78</f>
        <v/>
      </c>
      <c r="H78" s="17">
        <f>IF(G78="","",F78/G78)</f>
        <v/>
      </c>
      <c r="I78" s="16">
        <f>IF(G78="","",E78-F78)</f>
        <v/>
      </c>
      <c r="J78" s="17" t="n"/>
      <c r="K78" s="15" t="n"/>
    </row>
    <row r="79" ht="22" customHeight="1">
      <c r="B79" s="18">
        <f>IF(C79="","PAR-"&amp;TEXT(COUNTA($C$5:C79),"000"))</f>
        <v/>
      </c>
      <c r="C79" s="12" t="n"/>
      <c r="D79" s="12" t="n"/>
      <c r="E79" s="13" t="n"/>
      <c r="F79" s="13" t="n"/>
      <c r="G79" s="13">
        <f>E79+F79</f>
        <v/>
      </c>
      <c r="H79" s="14">
        <f>IF(G79="","",F79/G79)</f>
        <v/>
      </c>
      <c r="I79" s="13">
        <f>IF(G79="","",E79-F79)</f>
        <v/>
      </c>
      <c r="J79" s="14" t="n"/>
      <c r="K79" s="12" t="n"/>
    </row>
    <row r="80" ht="22" customHeight="1">
      <c r="B80" s="19">
        <f>IF(C80="","PAR-"&amp;TEXT(COUNTA($C$5:C80),"000"))</f>
        <v/>
      </c>
      <c r="C80" s="15" t="n"/>
      <c r="D80" s="15" t="n"/>
      <c r="E80" s="16" t="n"/>
      <c r="F80" s="16" t="n"/>
      <c r="G80" s="16">
        <f>E80+F80</f>
        <v/>
      </c>
      <c r="H80" s="17">
        <f>IF(G80="","",F80/G80)</f>
        <v/>
      </c>
      <c r="I80" s="16">
        <f>IF(G80="","",E80-F80)</f>
        <v/>
      </c>
      <c r="J80" s="17" t="n"/>
      <c r="K80" s="15" t="n"/>
    </row>
    <row r="81" ht="22" customHeight="1">
      <c r="B81" s="18">
        <f>IF(C81="","PAR-"&amp;TEXT(COUNTA($C$5:C81),"000"))</f>
        <v/>
      </c>
      <c r="C81" s="12" t="n"/>
      <c r="D81" s="12" t="n"/>
      <c r="E81" s="13" t="n"/>
      <c r="F81" s="13" t="n"/>
      <c r="G81" s="13">
        <f>E81+F81</f>
        <v/>
      </c>
      <c r="H81" s="14">
        <f>IF(G81="","",F81/G81)</f>
        <v/>
      </c>
      <c r="I81" s="13">
        <f>IF(G81="","",E81-F81)</f>
        <v/>
      </c>
      <c r="J81" s="14" t="n"/>
      <c r="K81" s="12" t="n"/>
    </row>
    <row r="82" ht="22" customHeight="1">
      <c r="B82" s="19">
        <f>IF(C82="","PAR-"&amp;TEXT(COUNTA($C$5:C82),"000"))</f>
        <v/>
      </c>
      <c r="C82" s="15" t="n"/>
      <c r="D82" s="15" t="n"/>
      <c r="E82" s="16" t="n"/>
      <c r="F82" s="16" t="n"/>
      <c r="G82" s="16">
        <f>E82+F82</f>
        <v/>
      </c>
      <c r="H82" s="17">
        <f>IF(G82="","",F82/G82)</f>
        <v/>
      </c>
      <c r="I82" s="16">
        <f>IF(G82="","",E82-F82)</f>
        <v/>
      </c>
      <c r="J82" s="17" t="n"/>
      <c r="K82" s="15" t="n"/>
    </row>
    <row r="83" ht="22" customHeight="1">
      <c r="B83" s="18">
        <f>IF(C83="","PAR-"&amp;TEXT(COUNTA($C$5:C83),"000"))</f>
        <v/>
      </c>
      <c r="C83" s="12" t="n"/>
      <c r="D83" s="12" t="n"/>
      <c r="E83" s="13" t="n"/>
      <c r="F83" s="13" t="n"/>
      <c r="G83" s="13">
        <f>E83+F83</f>
        <v/>
      </c>
      <c r="H83" s="14">
        <f>IF(G83="","",F83/G83)</f>
        <v/>
      </c>
      <c r="I83" s="13">
        <f>IF(G83="","",E83-F83)</f>
        <v/>
      </c>
      <c r="J83" s="14" t="n"/>
      <c r="K83" s="12" t="n"/>
    </row>
    <row r="84" ht="22" customHeight="1">
      <c r="B84" s="19">
        <f>IF(C84="","PAR-"&amp;TEXT(COUNTA($C$5:C84),"000"))</f>
        <v/>
      </c>
      <c r="C84" s="15" t="n"/>
      <c r="D84" s="15" t="n"/>
      <c r="E84" s="16" t="n"/>
      <c r="F84" s="16" t="n"/>
      <c r="G84" s="16">
        <f>E84+F84</f>
        <v/>
      </c>
      <c r="H84" s="17">
        <f>IF(G84="","",F84/G84)</f>
        <v/>
      </c>
      <c r="I84" s="16">
        <f>IF(G84="","",E84-F84)</f>
        <v/>
      </c>
      <c r="J84" s="17" t="n"/>
      <c r="K84" s="15" t="n"/>
    </row>
    <row r="85" ht="22" customHeight="1">
      <c r="B85" s="18">
        <f>IF(C85="","PAR-"&amp;TEXT(COUNTA($C$5:C85),"000"))</f>
        <v/>
      </c>
      <c r="C85" s="12" t="n"/>
      <c r="D85" s="12" t="n"/>
      <c r="E85" s="13" t="n"/>
      <c r="F85" s="13" t="n"/>
      <c r="G85" s="13">
        <f>E85+F85</f>
        <v/>
      </c>
      <c r="H85" s="14">
        <f>IF(G85="","",F85/G85)</f>
        <v/>
      </c>
      <c r="I85" s="13">
        <f>IF(G85="","",E85-F85)</f>
        <v/>
      </c>
      <c r="J85" s="14" t="n"/>
      <c r="K85" s="12" t="n"/>
    </row>
    <row r="86" ht="22" customHeight="1">
      <c r="B86" s="19">
        <f>IF(C86="","PAR-"&amp;TEXT(COUNTA($C$5:C86),"000"))</f>
        <v/>
      </c>
      <c r="C86" s="15" t="n"/>
      <c r="D86" s="15" t="n"/>
      <c r="E86" s="16" t="n"/>
      <c r="F86" s="16" t="n"/>
      <c r="G86" s="16">
        <f>E86+F86</f>
        <v/>
      </c>
      <c r="H86" s="17">
        <f>IF(G86="","",F86/G86)</f>
        <v/>
      </c>
      <c r="I86" s="16">
        <f>IF(G86="","",E86-F86)</f>
        <v/>
      </c>
      <c r="J86" s="17" t="n"/>
      <c r="K86" s="15" t="n"/>
    </row>
    <row r="87" ht="22" customHeight="1">
      <c r="B87" s="18">
        <f>IF(C87="","PAR-"&amp;TEXT(COUNTA($C$5:C87),"000"))</f>
        <v/>
      </c>
      <c r="C87" s="12" t="n"/>
      <c r="D87" s="12" t="n"/>
      <c r="E87" s="13" t="n"/>
      <c r="F87" s="13" t="n"/>
      <c r="G87" s="13">
        <f>E87+F87</f>
        <v/>
      </c>
      <c r="H87" s="14">
        <f>IF(G87="","",F87/G87)</f>
        <v/>
      </c>
      <c r="I87" s="13">
        <f>IF(G87="","",E87-F87)</f>
        <v/>
      </c>
      <c r="J87" s="14" t="n"/>
      <c r="K87" s="12" t="n"/>
    </row>
    <row r="88" ht="22" customHeight="1">
      <c r="B88" s="19">
        <f>IF(C88="","PAR-"&amp;TEXT(COUNTA($C$5:C88),"000"))</f>
        <v/>
      </c>
      <c r="C88" s="15" t="n"/>
      <c r="D88" s="15" t="n"/>
      <c r="E88" s="16" t="n"/>
      <c r="F88" s="16" t="n"/>
      <c r="G88" s="16">
        <f>E88+F88</f>
        <v/>
      </c>
      <c r="H88" s="17">
        <f>IF(G88="","",F88/G88)</f>
        <v/>
      </c>
      <c r="I88" s="16">
        <f>IF(G88="","",E88-F88)</f>
        <v/>
      </c>
      <c r="J88" s="17" t="n"/>
      <c r="K88" s="15" t="n"/>
    </row>
    <row r="89" ht="22" customHeight="1">
      <c r="B89" s="18">
        <f>IF(C89="","PAR-"&amp;TEXT(COUNTA($C$5:C89),"000"))</f>
        <v/>
      </c>
      <c r="C89" s="12" t="n"/>
      <c r="D89" s="12" t="n"/>
      <c r="E89" s="13" t="n"/>
      <c r="F89" s="13" t="n"/>
      <c r="G89" s="13">
        <f>E89+F89</f>
        <v/>
      </c>
      <c r="H89" s="14">
        <f>IF(G89="","",F89/G89)</f>
        <v/>
      </c>
      <c r="I89" s="13">
        <f>IF(G89="","",E89-F89)</f>
        <v/>
      </c>
      <c r="J89" s="14" t="n"/>
      <c r="K89" s="12" t="n"/>
    </row>
    <row r="90" ht="22" customHeight="1">
      <c r="B90" s="19">
        <f>IF(C90="","PAR-"&amp;TEXT(COUNTA($C$5:C90),"000"))</f>
        <v/>
      </c>
      <c r="C90" s="15" t="n"/>
      <c r="D90" s="15" t="n"/>
      <c r="E90" s="16" t="n"/>
      <c r="F90" s="16" t="n"/>
      <c r="G90" s="16">
        <f>E90+F90</f>
        <v/>
      </c>
      <c r="H90" s="17">
        <f>IF(G90="","",F90/G90)</f>
        <v/>
      </c>
      <c r="I90" s="16">
        <f>IF(G90="","",E90-F90)</f>
        <v/>
      </c>
      <c r="J90" s="17" t="n"/>
      <c r="K90" s="15" t="n"/>
    </row>
    <row r="91" ht="22" customHeight="1">
      <c r="B91" s="18">
        <f>IF(C91="","PAR-"&amp;TEXT(COUNTA($C$5:C91),"000"))</f>
        <v/>
      </c>
      <c r="C91" s="12" t="n"/>
      <c r="D91" s="12" t="n"/>
      <c r="E91" s="13" t="n"/>
      <c r="F91" s="13" t="n"/>
      <c r="G91" s="13">
        <f>E91+F91</f>
        <v/>
      </c>
      <c r="H91" s="14">
        <f>IF(G91="","",F91/G91)</f>
        <v/>
      </c>
      <c r="I91" s="13">
        <f>IF(G91="","",E91-F91)</f>
        <v/>
      </c>
      <c r="J91" s="14" t="n"/>
      <c r="K91" s="12" t="n"/>
    </row>
    <row r="92" ht="22" customHeight="1">
      <c r="B92" s="19">
        <f>IF(C92="","PAR-"&amp;TEXT(COUNTA($C$5:C92),"000"))</f>
        <v/>
      </c>
      <c r="C92" s="15" t="n"/>
      <c r="D92" s="15" t="n"/>
      <c r="E92" s="16" t="n"/>
      <c r="F92" s="16" t="n"/>
      <c r="G92" s="16">
        <f>E92+F92</f>
        <v/>
      </c>
      <c r="H92" s="17">
        <f>IF(G92="","",F92/G92)</f>
        <v/>
      </c>
      <c r="I92" s="16">
        <f>IF(G92="","",E92-F92)</f>
        <v/>
      </c>
      <c r="J92" s="17" t="n"/>
      <c r="K92" s="15" t="n"/>
    </row>
    <row r="93" ht="22" customHeight="1">
      <c r="B93" s="18">
        <f>IF(C93="","PAR-"&amp;TEXT(COUNTA($C$5:C93),"000"))</f>
        <v/>
      </c>
      <c r="C93" s="12" t="n"/>
      <c r="D93" s="12" t="n"/>
      <c r="E93" s="13" t="n"/>
      <c r="F93" s="13" t="n"/>
      <c r="G93" s="13">
        <f>E93+F93</f>
        <v/>
      </c>
      <c r="H93" s="14">
        <f>IF(G93="","",F93/G93)</f>
        <v/>
      </c>
      <c r="I93" s="13">
        <f>IF(G93="","",E93-F93)</f>
        <v/>
      </c>
      <c r="J93" s="14" t="n"/>
      <c r="K93" s="12" t="n"/>
    </row>
    <row r="94" ht="22" customHeight="1">
      <c r="B94" s="19">
        <f>IF(C94="","PAR-"&amp;TEXT(COUNTA($C$5:C94),"000"))</f>
        <v/>
      </c>
      <c r="C94" s="15" t="n"/>
      <c r="D94" s="15" t="n"/>
      <c r="E94" s="16" t="n"/>
      <c r="F94" s="16" t="n"/>
      <c r="G94" s="16">
        <f>E94+F94</f>
        <v/>
      </c>
      <c r="H94" s="17">
        <f>IF(G94="","",F94/G94)</f>
        <v/>
      </c>
      <c r="I94" s="16">
        <f>IF(G94="","",E94-F94)</f>
        <v/>
      </c>
      <c r="J94" s="17" t="n"/>
      <c r="K94" s="15" t="n"/>
    </row>
    <row r="95" ht="22" customHeight="1">
      <c r="B95" s="18">
        <f>IF(C95="","PAR-"&amp;TEXT(COUNTA($C$5:C95),"000"))</f>
        <v/>
      </c>
      <c r="C95" s="12" t="n"/>
      <c r="D95" s="12" t="n"/>
      <c r="E95" s="13" t="n"/>
      <c r="F95" s="13" t="n"/>
      <c r="G95" s="13">
        <f>E95+F95</f>
        <v/>
      </c>
      <c r="H95" s="14">
        <f>IF(G95="","",F95/G95)</f>
        <v/>
      </c>
      <c r="I95" s="13">
        <f>IF(G95="","",E95-F95)</f>
        <v/>
      </c>
      <c r="J95" s="14" t="n"/>
      <c r="K95" s="12" t="n"/>
    </row>
    <row r="96" ht="22" customHeight="1">
      <c r="B96" s="19">
        <f>IF(C96="","PAR-"&amp;TEXT(COUNTA($C$5:C96),"000"))</f>
        <v/>
      </c>
      <c r="C96" s="15" t="n"/>
      <c r="D96" s="15" t="n"/>
      <c r="E96" s="16" t="n"/>
      <c r="F96" s="16" t="n"/>
      <c r="G96" s="16">
        <f>E96+F96</f>
        <v/>
      </c>
      <c r="H96" s="17">
        <f>IF(G96="","",F96/G96)</f>
        <v/>
      </c>
      <c r="I96" s="16">
        <f>IF(G96="","",E96-F96)</f>
        <v/>
      </c>
      <c r="J96" s="17" t="n"/>
      <c r="K96" s="15" t="n"/>
    </row>
    <row r="97" ht="22" customHeight="1">
      <c r="B97" s="18">
        <f>IF(C97="","PAR-"&amp;TEXT(COUNTA($C$5:C97),"000"))</f>
        <v/>
      </c>
      <c r="C97" s="12" t="n"/>
      <c r="D97" s="12" t="n"/>
      <c r="E97" s="13" t="n"/>
      <c r="F97" s="13" t="n"/>
      <c r="G97" s="13">
        <f>E97+F97</f>
        <v/>
      </c>
      <c r="H97" s="14">
        <f>IF(G97="","",F97/G97)</f>
        <v/>
      </c>
      <c r="I97" s="13">
        <f>IF(G97="","",E97-F97)</f>
        <v/>
      </c>
      <c r="J97" s="14" t="n"/>
      <c r="K97" s="12" t="n"/>
    </row>
    <row r="98" ht="22" customHeight="1">
      <c r="B98" s="19">
        <f>IF(C98="","PAR-"&amp;TEXT(COUNTA($C$5:C98),"000"))</f>
        <v/>
      </c>
      <c r="C98" s="15" t="n"/>
      <c r="D98" s="15" t="n"/>
      <c r="E98" s="16" t="n"/>
      <c r="F98" s="16" t="n"/>
      <c r="G98" s="16">
        <f>E98+F98</f>
        <v/>
      </c>
      <c r="H98" s="17">
        <f>IF(G98="","",F98/G98)</f>
        <v/>
      </c>
      <c r="I98" s="16">
        <f>IF(G98="","",E98-F98)</f>
        <v/>
      </c>
      <c r="J98" s="17" t="n"/>
      <c r="K98" s="15" t="n"/>
    </row>
    <row r="99" ht="22" customHeight="1">
      <c r="B99" s="18">
        <f>IF(C99="","PAR-"&amp;TEXT(COUNTA($C$5:C99),"000"))</f>
        <v/>
      </c>
      <c r="C99" s="12" t="n"/>
      <c r="D99" s="12" t="n"/>
      <c r="E99" s="13" t="n"/>
      <c r="F99" s="13" t="n"/>
      <c r="G99" s="13">
        <f>E99+F99</f>
        <v/>
      </c>
      <c r="H99" s="14">
        <f>IF(G99="","",F99/G99)</f>
        <v/>
      </c>
      <c r="I99" s="13">
        <f>IF(G99="","",E99-F99)</f>
        <v/>
      </c>
      <c r="J99" s="14" t="n"/>
      <c r="K99" s="12" t="n"/>
    </row>
    <row r="100" ht="22" customHeight="1">
      <c r="B100" s="19">
        <f>IF(C100="","PAR-"&amp;TEXT(COUNTA($C$5:C100),"000"))</f>
        <v/>
      </c>
      <c r="C100" s="15" t="n"/>
      <c r="D100" s="15" t="n"/>
      <c r="E100" s="16" t="n"/>
      <c r="F100" s="16" t="n"/>
      <c r="G100" s="16">
        <f>E100+F100</f>
        <v/>
      </c>
      <c r="H100" s="17">
        <f>IF(G100="","",F100/G100)</f>
        <v/>
      </c>
      <c r="I100" s="16">
        <f>IF(G100="","",E100-F100)</f>
        <v/>
      </c>
      <c r="J100" s="17" t="n"/>
      <c r="K100" s="15" t="n"/>
    </row>
    <row r="101" ht="22" customHeight="1">
      <c r="B101" s="18">
        <f>IF(C101="","PAR-"&amp;TEXT(COUNTA($C$5:C101),"000"))</f>
        <v/>
      </c>
      <c r="C101" s="12" t="n"/>
      <c r="D101" s="12" t="n"/>
      <c r="E101" s="13" t="n"/>
      <c r="F101" s="13" t="n"/>
      <c r="G101" s="13">
        <f>E101+F101</f>
        <v/>
      </c>
      <c r="H101" s="14">
        <f>IF(G101="","",F101/G101)</f>
        <v/>
      </c>
      <c r="I101" s="13">
        <f>IF(G101="","",E101-F101)</f>
        <v/>
      </c>
      <c r="J101" s="14" t="n"/>
      <c r="K101" s="12" t="n"/>
    </row>
    <row r="102" ht="22" customHeight="1">
      <c r="B102" s="19">
        <f>IF(C102="","PAR-"&amp;TEXT(COUNTA($C$5:C102),"000"))</f>
        <v/>
      </c>
      <c r="C102" s="15" t="n"/>
      <c r="D102" s="15" t="n"/>
      <c r="E102" s="16" t="n"/>
      <c r="F102" s="16" t="n"/>
      <c r="G102" s="16">
        <f>E102+F102</f>
        <v/>
      </c>
      <c r="H102" s="17">
        <f>IF(G102="","",F102/G102)</f>
        <v/>
      </c>
      <c r="I102" s="16">
        <f>IF(G102="","",E102-F102)</f>
        <v/>
      </c>
      <c r="J102" s="17" t="n"/>
      <c r="K102" s="15" t="n"/>
    </row>
    <row r="103" ht="22" customHeight="1">
      <c r="B103" s="18">
        <f>IF(C103="","PAR-"&amp;TEXT(COUNTA($C$5:C103),"000"))</f>
        <v/>
      </c>
      <c r="C103" s="12" t="n"/>
      <c r="D103" s="12" t="n"/>
      <c r="E103" s="13" t="n"/>
      <c r="F103" s="13" t="n"/>
      <c r="G103" s="13">
        <f>E103+F103</f>
        <v/>
      </c>
      <c r="H103" s="14">
        <f>IF(G103="","",F103/G103)</f>
        <v/>
      </c>
      <c r="I103" s="13">
        <f>IF(G103="","",E103-F103)</f>
        <v/>
      </c>
      <c r="J103" s="14" t="n"/>
      <c r="K103" s="12" t="n"/>
    </row>
    <row r="104" ht="22" customHeight="1">
      <c r="B104" s="19">
        <f>IF(C104="","PAR-"&amp;TEXT(COUNTA($C$5:C104),"000"))</f>
        <v/>
      </c>
      <c r="C104" s="15" t="n"/>
      <c r="D104" s="15" t="n"/>
      <c r="E104" s="16" t="n"/>
      <c r="F104" s="16" t="n"/>
      <c r="G104" s="16">
        <f>E104+F104</f>
        <v/>
      </c>
      <c r="H104" s="17">
        <f>IF(G104="","",F104/G104)</f>
        <v/>
      </c>
      <c r="I104" s="16">
        <f>IF(G104="","",E104-F104)</f>
        <v/>
      </c>
      <c r="J104" s="17" t="n"/>
      <c r="K104" s="15" t="n"/>
    </row>
    <row r="105" ht="22" customHeight="1">
      <c r="B105" s="18">
        <f>IF(C105="","PAR-"&amp;TEXT(COUNTA($C$5:C105),"000"))</f>
        <v/>
      </c>
      <c r="C105" s="12" t="n"/>
      <c r="D105" s="12" t="n"/>
      <c r="E105" s="13" t="n"/>
      <c r="F105" s="13" t="n"/>
      <c r="G105" s="13">
        <f>E105+F105</f>
        <v/>
      </c>
      <c r="H105" s="14">
        <f>IF(G105="","",F105/G105)</f>
        <v/>
      </c>
      <c r="I105" s="13">
        <f>IF(G105="","",E105-F105)</f>
        <v/>
      </c>
      <c r="J105" s="14" t="n"/>
      <c r="K105" s="12" t="n"/>
    </row>
    <row r="106" ht="22" customHeight="1">
      <c r="B106" s="19">
        <f>IF(C106="","PAR-"&amp;TEXT(COUNTA($C$5:C106),"000"))</f>
        <v/>
      </c>
      <c r="C106" s="15" t="n"/>
      <c r="D106" s="15" t="n"/>
      <c r="E106" s="16" t="n"/>
      <c r="F106" s="16" t="n"/>
      <c r="G106" s="16">
        <f>E106+F106</f>
        <v/>
      </c>
      <c r="H106" s="17">
        <f>IF(G106="","",F106/G106)</f>
        <v/>
      </c>
      <c r="I106" s="16">
        <f>IF(G106="","",E106-F106)</f>
        <v/>
      </c>
      <c r="J106" s="17" t="n"/>
      <c r="K106" s="15" t="n"/>
    </row>
    <row r="107" ht="22" customHeight="1">
      <c r="B107" s="18">
        <f>IF(C107="","PAR-"&amp;TEXT(COUNTA($C$5:C107),"000"))</f>
        <v/>
      </c>
      <c r="C107" s="12" t="n"/>
      <c r="D107" s="12" t="n"/>
      <c r="E107" s="13" t="n"/>
      <c r="F107" s="13" t="n"/>
      <c r="G107" s="13">
        <f>E107+F107</f>
        <v/>
      </c>
      <c r="H107" s="14">
        <f>IF(G107="","",F107/G107)</f>
        <v/>
      </c>
      <c r="I107" s="13">
        <f>IF(G107="","",E107-F107)</f>
        <v/>
      </c>
      <c r="J107" s="14" t="n"/>
      <c r="K107" s="12" t="n"/>
    </row>
    <row r="108" ht="22" customHeight="1">
      <c r="B108" s="19">
        <f>IF(C108="","PAR-"&amp;TEXT(COUNTA($C$5:C108),"000"))</f>
        <v/>
      </c>
      <c r="C108" s="15" t="n"/>
      <c r="D108" s="15" t="n"/>
      <c r="E108" s="16" t="n"/>
      <c r="F108" s="16" t="n"/>
      <c r="G108" s="16">
        <f>E108+F108</f>
        <v/>
      </c>
      <c r="H108" s="17">
        <f>IF(G108="","",F108/G108)</f>
        <v/>
      </c>
      <c r="I108" s="16">
        <f>IF(G108="","",E108-F108)</f>
        <v/>
      </c>
      <c r="J108" s="17" t="n"/>
      <c r="K108" s="15" t="n"/>
    </row>
    <row r="109" ht="22" customHeight="1">
      <c r="B109" s="18">
        <f>IF(C109="","PAR-"&amp;TEXT(COUNTA($C$5:C109),"000"))</f>
        <v/>
      </c>
      <c r="C109" s="12" t="n"/>
      <c r="D109" s="12" t="n"/>
      <c r="E109" s="13" t="n"/>
      <c r="F109" s="13" t="n"/>
      <c r="G109" s="13">
        <f>E109+F109</f>
        <v/>
      </c>
      <c r="H109" s="14">
        <f>IF(G109="","",F109/G109)</f>
        <v/>
      </c>
      <c r="I109" s="13">
        <f>IF(G109="","",E109-F109)</f>
        <v/>
      </c>
      <c r="J109" s="14" t="n"/>
      <c r="K109" s="12" t="n"/>
    </row>
    <row r="110" ht="22" customHeight="1">
      <c r="B110" s="19">
        <f>IF(C110="","PAR-"&amp;TEXT(COUNTA($C$5:C110),"000"))</f>
        <v/>
      </c>
      <c r="C110" s="15" t="n"/>
      <c r="D110" s="15" t="n"/>
      <c r="E110" s="16" t="n"/>
      <c r="F110" s="16" t="n"/>
      <c r="G110" s="16">
        <f>E110+F110</f>
        <v/>
      </c>
      <c r="H110" s="17">
        <f>IF(G110="","",F110/G110)</f>
        <v/>
      </c>
      <c r="I110" s="16">
        <f>IF(G110="","",E110-F110)</f>
        <v/>
      </c>
      <c r="J110" s="17" t="n"/>
      <c r="K110" s="15" t="n"/>
    </row>
    <row r="111" ht="22" customHeight="1">
      <c r="B111" s="18">
        <f>IF(C111="","PAR-"&amp;TEXT(COUNTA($C$5:C111),"000"))</f>
        <v/>
      </c>
      <c r="C111" s="12" t="n"/>
      <c r="D111" s="12" t="n"/>
      <c r="E111" s="13" t="n"/>
      <c r="F111" s="13" t="n"/>
      <c r="G111" s="13">
        <f>E111+F111</f>
        <v/>
      </c>
      <c r="H111" s="14">
        <f>IF(G111="","",F111/G111)</f>
        <v/>
      </c>
      <c r="I111" s="13">
        <f>IF(G111="","",E111-F111)</f>
        <v/>
      </c>
      <c r="J111" s="14" t="n"/>
      <c r="K111" s="12" t="n"/>
    </row>
    <row r="112" ht="22" customHeight="1">
      <c r="B112" s="19">
        <f>IF(C112="","PAR-"&amp;TEXT(COUNTA($C$5:C112),"000"))</f>
        <v/>
      </c>
      <c r="C112" s="15" t="n"/>
      <c r="D112" s="15" t="n"/>
      <c r="E112" s="16" t="n"/>
      <c r="F112" s="16" t="n"/>
      <c r="G112" s="16">
        <f>E112+F112</f>
        <v/>
      </c>
      <c r="H112" s="17">
        <f>IF(G112="","",F112/G112)</f>
        <v/>
      </c>
      <c r="I112" s="16">
        <f>IF(G112="","",E112-F112)</f>
        <v/>
      </c>
      <c r="J112" s="17" t="n"/>
      <c r="K112" s="15" t="n"/>
    </row>
    <row r="114" ht="26" customHeight="1">
      <c r="B114" s="20" t="inlineStr">
        <is>
          <t>TOTAL</t>
        </is>
      </c>
      <c r="C114" s="21" t="n"/>
      <c r="D114" s="21" t="n"/>
      <c r="E114" s="22">
        <f>SUM(E5:E104)</f>
        <v/>
      </c>
      <c r="F114" s="22">
        <f>SUM(F5:F104)</f>
        <v/>
      </c>
      <c r="G114" s="22">
        <f>SUM(G5:G104)</f>
        <v/>
      </c>
      <c r="H114" s="21" t="n"/>
      <c r="I114" s="21" t="n"/>
      <c r="J114" s="21" t="n"/>
      <c r="K114" s="21" t="n"/>
    </row>
    <row r="116">
      <c r="B116" s="6" t="inlineStr">
        <is>
          <t>INDICATEURS (mis a jour automatiquement)</t>
        </is>
      </c>
    </row>
    <row r="117">
      <c r="B117" s="3" t="inlineStr">
        <is>
          <t>Services analyses</t>
        </is>
      </c>
      <c r="D117" s="3" t="inlineStr">
        <is>
          <t>% femmes global</t>
        </is>
      </c>
      <c r="F117" s="3" t="inlineStr">
        <is>
          <t>Services conformes</t>
        </is>
      </c>
    </row>
    <row r="118">
      <c r="B118" s="5">
        <f>COUNTIF(B5:B104,"&lt;&gt;")</f>
        <v/>
      </c>
      <c r="D118" s="5">
        <f>IFERROR(SUM(F5:F104)/SUM(G5:G104),0)</f>
        <v/>
      </c>
      <c r="F118" s="5">
        <f>COUNTIF(K5:K104,"Conforme")</f>
        <v/>
      </c>
    </row>
  </sheetData>
  <mergeCells count="3">
    <mergeCell ref="B116:K116"/>
    <mergeCell ref="B3:K3"/>
    <mergeCell ref="B2:K2"/>
  </mergeCells>
  <conditionalFormatting sqref="B13:B112">
    <cfRule type="expression" priority="1" dxfId="0">
      <formula>AND($C13="",$C12&lt;&gt;"")</formula>
    </cfRule>
  </conditionalFormatting>
  <conditionalFormatting sqref="C13:C112">
    <cfRule type="expression" priority="2" dxfId="0">
      <formula>AND($C13="",$C12&lt;&gt;"")</formula>
    </cfRule>
  </conditionalFormatting>
  <conditionalFormatting sqref="D13:D112">
    <cfRule type="expression" priority="3" dxfId="0">
      <formula>AND($C13="",$C12&lt;&gt;"")</formula>
    </cfRule>
  </conditionalFormatting>
  <conditionalFormatting sqref="E13:E112">
    <cfRule type="expression" priority="4" dxfId="0">
      <formula>AND($C13="",$C12&lt;&gt;"")</formula>
    </cfRule>
  </conditionalFormatting>
  <conditionalFormatting sqref="F13:F112">
    <cfRule type="expression" priority="5" dxfId="0">
      <formula>AND($C13="",$C12&lt;&gt;"")</formula>
    </cfRule>
  </conditionalFormatting>
  <conditionalFormatting sqref="G13:G112">
    <cfRule type="expression" priority="6" dxfId="0">
      <formula>AND($C13="",$C12&lt;&gt;"")</formula>
    </cfRule>
  </conditionalFormatting>
  <conditionalFormatting sqref="H13:H112">
    <cfRule type="expression" priority="7" dxfId="0">
      <formula>AND($C13="",$C12&lt;&gt;"")</formula>
    </cfRule>
  </conditionalFormatting>
  <conditionalFormatting sqref="I13:I112">
    <cfRule type="expression" priority="8" dxfId="0">
      <formula>AND($C13="",$C12&lt;&gt;"")</formula>
    </cfRule>
  </conditionalFormatting>
  <conditionalFormatting sqref="J13:J112">
    <cfRule type="expression" priority="9" dxfId="0">
      <formula>AND($C13="",$C12&lt;&gt;"")</formula>
    </cfRule>
  </conditionalFormatting>
  <conditionalFormatting sqref="K13:K112">
    <cfRule type="expression" priority="10" dxfId="0">
      <formula>AND($C13="",$C12&lt;&gt;"")</formula>
    </cfRule>
  </conditionalFormatting>
  <dataValidations count="3">
    <dataValidation sqref="C5:C112" showDropDown="0" showInputMessage="0" showErrorMessage="0" allowBlank="1" errorTitle="Erreur" error="Valeur invalide" promptTitle="Liste" prompt="Choisir dans la liste" type="list">
      <formula1>'_Lists'!$C$2:$C$14</formula1>
    </dataValidation>
    <dataValidation sqref="D5:D112" showDropDown="0" showInputMessage="0" showErrorMessage="0" allowBlank="1" errorTitle="Erreur" error="Valeur invalide" promptTitle="Liste" prompt="Choisir dans la liste" type="list">
      <formula1>'_Lists'!$E$2:$E$6</formula1>
    </dataValidation>
    <dataValidation sqref="K5:K112" showDropDown="0" showInputMessage="0" showErrorMessage="0" allowBlank="1" errorTitle="Erreur" error="Valeur invalide" promptTitle="Liste" prompt="Choisir dans la liste" type="list">
      <formula1>'_Lists'!$L$2:$L$6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8" customWidth="1" min="4" max="4"/>
    <col width="24" customWidth="1" min="5" max="5"/>
    <col width="16" customWidth="1" min="6" max="6"/>
    <col width="32" customWidth="1" min="7" max="7"/>
    <col width="14" customWidth="1" min="8" max="8"/>
    <col width="20" customWidth="1" min="9" max="9"/>
    <col width="36" customWidth="1" min="10" max="10"/>
    <col width="18" customWidth="1" min="11" max="11"/>
    <col width="22" customWidth="1" min="12" max="12"/>
  </cols>
  <sheetData>
    <row r="1" ht="15" customHeight="1"/>
    <row r="2" ht="32" customHeight="1">
      <c r="B2" s="1" t="inlineStr">
        <is>
          <t>GESTION EMPLOI PERSONNES HANDICAPEES (#156)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Service</t>
        </is>
      </c>
      <c r="F4" s="11" t="inlineStr">
        <is>
          <t>Type Handicap</t>
        </is>
      </c>
      <c r="G4" s="11" t="inlineStr">
        <is>
          <t>Niveau Amenagement</t>
        </is>
      </c>
      <c r="H4" s="11" t="inlineStr">
        <is>
          <t>Date Embauche</t>
        </is>
      </c>
      <c r="I4" s="11" t="inlineStr">
        <is>
          <t>Salaire Brut (FCFA)</t>
        </is>
      </c>
      <c r="J4" s="11" t="inlineStr">
        <is>
          <t>Amenagement Realise</t>
        </is>
      </c>
      <c r="K4" s="11" t="inlineStr">
        <is>
          <t>Date Revision Med.</t>
        </is>
      </c>
      <c r="L4" s="11" t="inlineStr">
        <is>
          <t>Statut</t>
        </is>
      </c>
    </row>
    <row r="5" ht="22" customHeight="1">
      <c r="B5" s="12" t="inlineStr">
        <is>
          <t>EMP-001</t>
        </is>
      </c>
      <c r="C5" s="12" t="inlineStr">
        <is>
          <t>Nga A.</t>
        </is>
      </c>
      <c r="D5" s="12" t="inlineStr">
        <is>
          <t>Standardiste</t>
        </is>
      </c>
      <c r="E5" s="12" t="inlineStr">
        <is>
          <t>Réception &amp; Front Office</t>
        </is>
      </c>
      <c r="F5" s="12" t="inlineStr">
        <is>
          <t>Auditif</t>
        </is>
      </c>
      <c r="G5" s="12" t="inlineStr">
        <is>
          <t>Amenagement leger (materiel)</t>
        </is>
      </c>
      <c r="H5" s="27" t="n">
        <v>44635</v>
      </c>
      <c r="I5" s="24" t="n">
        <v>165000</v>
      </c>
      <c r="J5" s="12" t="inlineStr">
        <is>
          <t>Telephone amplifie, eclairage special</t>
        </is>
      </c>
      <c r="K5" s="27" t="n">
        <v>45915</v>
      </c>
      <c r="L5" s="12" t="inlineStr">
        <is>
          <t>En poste</t>
        </is>
      </c>
    </row>
    <row r="6" ht="22" customHeight="1">
      <c r="B6" s="15" t="inlineStr">
        <is>
          <t>EMP-002</t>
        </is>
      </c>
      <c r="C6" s="15" t="inlineStr">
        <is>
          <t>Tagne M.</t>
        </is>
      </c>
      <c r="D6" s="15" t="inlineStr">
        <is>
          <t>Plongeur</t>
        </is>
      </c>
      <c r="E6" s="15" t="inlineStr">
        <is>
          <t>Cuisine &amp; Restauration</t>
        </is>
      </c>
      <c r="F6" s="15" t="inlineStr">
        <is>
          <t>Moteur</t>
        </is>
      </c>
      <c r="G6" s="15" t="inlineStr">
        <is>
          <t>Amenagement modere (poste adapte)</t>
        </is>
      </c>
      <c r="H6" s="28" t="n">
        <v>45078</v>
      </c>
      <c r="I6" s="26" t="n">
        <v>145000</v>
      </c>
      <c r="J6" s="15" t="inlineStr">
        <is>
          <t>Tapis anti-glissade, siege adapte</t>
        </is>
      </c>
      <c r="K6" s="28" t="n">
        <v>45992</v>
      </c>
      <c r="L6" s="15" t="inlineStr">
        <is>
          <t>En poste</t>
        </is>
      </c>
    </row>
    <row r="7" ht="22" customHeight="1">
      <c r="B7" s="12" t="inlineStr">
        <is>
          <t>EMP-003</t>
        </is>
      </c>
      <c r="C7" s="12" t="inlineStr">
        <is>
          <t>Foumane P.</t>
        </is>
      </c>
      <c r="D7" s="12" t="inlineStr">
        <is>
          <t>Gardien jour</t>
        </is>
      </c>
      <c r="E7" s="12" t="inlineStr">
        <is>
          <t>Sécurité</t>
        </is>
      </c>
      <c r="F7" s="12" t="inlineStr">
        <is>
          <t>Visuel</t>
        </is>
      </c>
      <c r="G7" s="12" t="inlineStr">
        <is>
          <t>Amenagement leger (materiel)</t>
        </is>
      </c>
      <c r="H7" s="27" t="n">
        <v>45301</v>
      </c>
      <c r="I7" s="24" t="n">
        <v>150000</v>
      </c>
      <c r="J7" s="12" t="inlineStr">
        <is>
          <t>Eclairage renforce, lunettes speciales</t>
        </is>
      </c>
      <c r="K7" s="27" t="n">
        <v>45848</v>
      </c>
      <c r="L7" s="12" t="inlineStr">
        <is>
          <t>En poste</t>
        </is>
      </c>
    </row>
    <row r="8" ht="22" customHeight="1">
      <c r="B8" s="19">
        <f>IF(C8="","EMP-"&amp;TEXT(COUNTA($C$5:C8),"000"))</f>
        <v/>
      </c>
      <c r="C8" s="15" t="n"/>
      <c r="D8" s="15" t="n"/>
      <c r="E8" s="15" t="n"/>
      <c r="F8" s="15" t="n"/>
      <c r="G8" s="15" t="n"/>
      <c r="H8" s="28" t="n"/>
      <c r="I8" s="26" t="n"/>
      <c r="J8" s="15" t="n"/>
      <c r="K8" s="28" t="n"/>
      <c r="L8" s="15" t="n"/>
    </row>
    <row r="9" ht="22" customHeight="1">
      <c r="B9" s="18">
        <f>IF(C9="","EMP-"&amp;TEXT(COUNTA($C$5:C9),"000"))</f>
        <v/>
      </c>
      <c r="C9" s="12" t="n"/>
      <c r="D9" s="12" t="n"/>
      <c r="E9" s="12" t="n"/>
      <c r="F9" s="12" t="n"/>
      <c r="G9" s="12" t="n"/>
      <c r="H9" s="27" t="n"/>
      <c r="I9" s="24" t="n"/>
      <c r="J9" s="12" t="n"/>
      <c r="K9" s="27" t="n"/>
      <c r="L9" s="12" t="n"/>
    </row>
    <row r="10" ht="22" customHeight="1">
      <c r="B10" s="19">
        <f>IF(C10="","EMP-"&amp;TEXT(COUNTA($C$5:C10),"000"))</f>
        <v/>
      </c>
      <c r="C10" s="15" t="n"/>
      <c r="D10" s="15" t="n"/>
      <c r="E10" s="15" t="n"/>
      <c r="F10" s="15" t="n"/>
      <c r="G10" s="15" t="n"/>
      <c r="H10" s="28" t="n"/>
      <c r="I10" s="26" t="n"/>
      <c r="J10" s="15" t="n"/>
      <c r="K10" s="28" t="n"/>
      <c r="L10" s="15" t="n"/>
    </row>
    <row r="11" ht="22" customHeight="1">
      <c r="B11" s="18">
        <f>IF(C11="","EMP-"&amp;TEXT(COUNTA($C$5:C11),"000"))</f>
        <v/>
      </c>
      <c r="C11" s="12" t="n"/>
      <c r="D11" s="12" t="n"/>
      <c r="E11" s="12" t="n"/>
      <c r="F11" s="12" t="n"/>
      <c r="G11" s="12" t="n"/>
      <c r="H11" s="27" t="n"/>
      <c r="I11" s="24" t="n"/>
      <c r="J11" s="12" t="n"/>
      <c r="K11" s="27" t="n"/>
      <c r="L11" s="12" t="n"/>
    </row>
    <row r="12" ht="22" customHeight="1">
      <c r="B12" s="19">
        <f>IF(C12="","EMP-"&amp;TEXT(COUNTA($C$5:C12),"000"))</f>
        <v/>
      </c>
      <c r="C12" s="15" t="n"/>
      <c r="D12" s="15" t="n"/>
      <c r="E12" s="15" t="n"/>
      <c r="F12" s="15" t="n"/>
      <c r="G12" s="15" t="n"/>
      <c r="H12" s="28" t="n"/>
      <c r="I12" s="26" t="n"/>
      <c r="J12" s="15" t="n"/>
      <c r="K12" s="28" t="n"/>
      <c r="L12" s="15" t="n"/>
    </row>
    <row r="13" ht="22" customHeight="1">
      <c r="B13" s="18">
        <f>IF(C13="","EMP-"&amp;TEXT(COUNTA($C$5:C13),"000"))</f>
        <v/>
      </c>
      <c r="C13" s="12" t="n"/>
      <c r="D13" s="12" t="n"/>
      <c r="E13" s="12" t="n"/>
      <c r="F13" s="12" t="n"/>
      <c r="G13" s="12" t="n"/>
      <c r="H13" s="27" t="n"/>
      <c r="I13" s="24" t="n"/>
      <c r="J13" s="12" t="n"/>
      <c r="K13" s="27" t="n"/>
      <c r="L13" s="12" t="n"/>
    </row>
    <row r="14" ht="22" customHeight="1">
      <c r="B14" s="19">
        <f>IF(C14="","EMP-"&amp;TEXT(COUNTA($C$5:C14),"000"))</f>
        <v/>
      </c>
      <c r="C14" s="15" t="n"/>
      <c r="D14" s="15" t="n"/>
      <c r="E14" s="15" t="n"/>
      <c r="F14" s="15" t="n"/>
      <c r="G14" s="15" t="n"/>
      <c r="H14" s="28" t="n"/>
      <c r="I14" s="26" t="n"/>
      <c r="J14" s="15" t="n"/>
      <c r="K14" s="28" t="n"/>
      <c r="L14" s="15" t="n"/>
    </row>
    <row r="15" ht="22" customHeight="1">
      <c r="B15" s="18">
        <f>IF(C15="","EMP-"&amp;TEXT(COUNTA($C$5:C15),"000"))</f>
        <v/>
      </c>
      <c r="C15" s="12" t="n"/>
      <c r="D15" s="12" t="n"/>
      <c r="E15" s="12" t="n"/>
      <c r="F15" s="12" t="n"/>
      <c r="G15" s="12" t="n"/>
      <c r="H15" s="27" t="n"/>
      <c r="I15" s="24" t="n"/>
      <c r="J15" s="12" t="n"/>
      <c r="K15" s="27" t="n"/>
      <c r="L15" s="12" t="n"/>
    </row>
    <row r="16" ht="22" customHeight="1">
      <c r="B16" s="19">
        <f>IF(C16="","EMP-"&amp;TEXT(COUNTA($C$5:C16),"000"))</f>
        <v/>
      </c>
      <c r="C16" s="15" t="n"/>
      <c r="D16" s="15" t="n"/>
      <c r="E16" s="15" t="n"/>
      <c r="F16" s="15" t="n"/>
      <c r="G16" s="15" t="n"/>
      <c r="H16" s="28" t="n"/>
      <c r="I16" s="26" t="n"/>
      <c r="J16" s="15" t="n"/>
      <c r="K16" s="28" t="n"/>
      <c r="L16" s="15" t="n"/>
    </row>
    <row r="17" ht="22" customHeight="1">
      <c r="B17" s="18">
        <f>IF(C17="","EMP-"&amp;TEXT(COUNTA($C$5:C17),"000"))</f>
        <v/>
      </c>
      <c r="C17" s="12" t="n"/>
      <c r="D17" s="12" t="n"/>
      <c r="E17" s="12" t="n"/>
      <c r="F17" s="12" t="n"/>
      <c r="G17" s="12" t="n"/>
      <c r="H17" s="27" t="n"/>
      <c r="I17" s="24" t="n"/>
      <c r="J17" s="12" t="n"/>
      <c r="K17" s="27" t="n"/>
      <c r="L17" s="12" t="n"/>
    </row>
    <row r="18" ht="22" customHeight="1">
      <c r="B18" s="19">
        <f>IF(C18="","EMP-"&amp;TEXT(COUNTA($C$5:C18),"000"))</f>
        <v/>
      </c>
      <c r="C18" s="15" t="n"/>
      <c r="D18" s="15" t="n"/>
      <c r="E18" s="15" t="n"/>
      <c r="F18" s="15" t="n"/>
      <c r="G18" s="15" t="n"/>
      <c r="H18" s="28" t="n"/>
      <c r="I18" s="26" t="n"/>
      <c r="J18" s="15" t="n"/>
      <c r="K18" s="28" t="n"/>
      <c r="L18" s="15" t="n"/>
    </row>
    <row r="19" ht="22" customHeight="1">
      <c r="B19" s="18">
        <f>IF(C19="","EMP-"&amp;TEXT(COUNTA($C$5:C19),"000"))</f>
        <v/>
      </c>
      <c r="C19" s="12" t="n"/>
      <c r="D19" s="12" t="n"/>
      <c r="E19" s="12" t="n"/>
      <c r="F19" s="12" t="n"/>
      <c r="G19" s="12" t="n"/>
      <c r="H19" s="27" t="n"/>
      <c r="I19" s="24" t="n"/>
      <c r="J19" s="12" t="n"/>
      <c r="K19" s="27" t="n"/>
      <c r="L19" s="12" t="n"/>
    </row>
    <row r="20" ht="22" customHeight="1">
      <c r="B20" s="19">
        <f>IF(C20="","EMP-"&amp;TEXT(COUNTA($C$5:C20),"000"))</f>
        <v/>
      </c>
      <c r="C20" s="15" t="n"/>
      <c r="D20" s="15" t="n"/>
      <c r="E20" s="15" t="n"/>
      <c r="F20" s="15" t="n"/>
      <c r="G20" s="15" t="n"/>
      <c r="H20" s="28" t="n"/>
      <c r="I20" s="26" t="n"/>
      <c r="J20" s="15" t="n"/>
      <c r="K20" s="28" t="n"/>
      <c r="L20" s="15" t="n"/>
    </row>
    <row r="21" ht="22" customHeight="1">
      <c r="B21" s="18">
        <f>IF(C21="","EMP-"&amp;TEXT(COUNTA($C$5:C21),"000"))</f>
        <v/>
      </c>
      <c r="C21" s="12" t="n"/>
      <c r="D21" s="12" t="n"/>
      <c r="E21" s="12" t="n"/>
      <c r="F21" s="12" t="n"/>
      <c r="G21" s="12" t="n"/>
      <c r="H21" s="27" t="n"/>
      <c r="I21" s="24" t="n"/>
      <c r="J21" s="12" t="n"/>
      <c r="K21" s="27" t="n"/>
      <c r="L21" s="12" t="n"/>
    </row>
    <row r="22" ht="22" customHeight="1">
      <c r="B22" s="19">
        <f>IF(C22="","EMP-"&amp;TEXT(COUNTA($C$5:C22),"000"))</f>
        <v/>
      </c>
      <c r="C22" s="15" t="n"/>
      <c r="D22" s="15" t="n"/>
      <c r="E22" s="15" t="n"/>
      <c r="F22" s="15" t="n"/>
      <c r="G22" s="15" t="n"/>
      <c r="H22" s="28" t="n"/>
      <c r="I22" s="26" t="n"/>
      <c r="J22" s="15" t="n"/>
      <c r="K22" s="28" t="n"/>
      <c r="L22" s="15" t="n"/>
    </row>
    <row r="23" ht="22" customHeight="1">
      <c r="B23" s="18">
        <f>IF(C23="","EMP-"&amp;TEXT(COUNTA($C$5:C23),"000"))</f>
        <v/>
      </c>
      <c r="C23" s="12" t="n"/>
      <c r="D23" s="12" t="n"/>
      <c r="E23" s="12" t="n"/>
      <c r="F23" s="12" t="n"/>
      <c r="G23" s="12" t="n"/>
      <c r="H23" s="27" t="n"/>
      <c r="I23" s="24" t="n"/>
      <c r="J23" s="12" t="n"/>
      <c r="K23" s="27" t="n"/>
      <c r="L23" s="12" t="n"/>
    </row>
    <row r="24" ht="22" customHeight="1">
      <c r="B24" s="19">
        <f>IF(C24="","EMP-"&amp;TEXT(COUNTA($C$5:C24),"000"))</f>
        <v/>
      </c>
      <c r="C24" s="15" t="n"/>
      <c r="D24" s="15" t="n"/>
      <c r="E24" s="15" t="n"/>
      <c r="F24" s="15" t="n"/>
      <c r="G24" s="15" t="n"/>
      <c r="H24" s="28" t="n"/>
      <c r="I24" s="26" t="n"/>
      <c r="J24" s="15" t="n"/>
      <c r="K24" s="28" t="n"/>
      <c r="L24" s="15" t="n"/>
    </row>
    <row r="25" ht="22" customHeight="1">
      <c r="B25" s="18">
        <f>IF(C25="","EMP-"&amp;TEXT(COUNTA($C$5:C25),"000"))</f>
        <v/>
      </c>
      <c r="C25" s="12" t="n"/>
      <c r="D25" s="12" t="n"/>
      <c r="E25" s="12" t="n"/>
      <c r="F25" s="12" t="n"/>
      <c r="G25" s="12" t="n"/>
      <c r="H25" s="27" t="n"/>
      <c r="I25" s="24" t="n"/>
      <c r="J25" s="12" t="n"/>
      <c r="K25" s="27" t="n"/>
      <c r="L25" s="12" t="n"/>
    </row>
    <row r="26" ht="22" customHeight="1">
      <c r="B26" s="19">
        <f>IF(C26="","EMP-"&amp;TEXT(COUNTA($C$5:C26),"000"))</f>
        <v/>
      </c>
      <c r="C26" s="15" t="n"/>
      <c r="D26" s="15" t="n"/>
      <c r="E26" s="15" t="n"/>
      <c r="F26" s="15" t="n"/>
      <c r="G26" s="15" t="n"/>
      <c r="H26" s="28" t="n"/>
      <c r="I26" s="26" t="n"/>
      <c r="J26" s="15" t="n"/>
      <c r="K26" s="28" t="n"/>
      <c r="L26" s="15" t="n"/>
    </row>
    <row r="27" ht="22" customHeight="1">
      <c r="B27" s="18">
        <f>IF(C27="","EMP-"&amp;TEXT(COUNTA($C$5:C27),"000"))</f>
        <v/>
      </c>
      <c r="C27" s="12" t="n"/>
      <c r="D27" s="12" t="n"/>
      <c r="E27" s="12" t="n"/>
      <c r="F27" s="12" t="n"/>
      <c r="G27" s="12" t="n"/>
      <c r="H27" s="27" t="n"/>
      <c r="I27" s="24" t="n"/>
      <c r="J27" s="12" t="n"/>
      <c r="K27" s="27" t="n"/>
      <c r="L27" s="12" t="n"/>
    </row>
    <row r="28" ht="22" customHeight="1">
      <c r="B28" s="19">
        <f>IF(C28="","EMP-"&amp;TEXT(COUNTA($C$5:C28),"000"))</f>
        <v/>
      </c>
      <c r="C28" s="15" t="n"/>
      <c r="D28" s="15" t="n"/>
      <c r="E28" s="15" t="n"/>
      <c r="F28" s="15" t="n"/>
      <c r="G28" s="15" t="n"/>
      <c r="H28" s="28" t="n"/>
      <c r="I28" s="26" t="n"/>
      <c r="J28" s="15" t="n"/>
      <c r="K28" s="28" t="n"/>
      <c r="L28" s="15" t="n"/>
    </row>
    <row r="29" ht="22" customHeight="1">
      <c r="B29" s="18">
        <f>IF(C29="","EMP-"&amp;TEXT(COUNTA($C$5:C29),"000"))</f>
        <v/>
      </c>
      <c r="C29" s="12" t="n"/>
      <c r="D29" s="12" t="n"/>
      <c r="E29" s="12" t="n"/>
      <c r="F29" s="12" t="n"/>
      <c r="G29" s="12" t="n"/>
      <c r="H29" s="27" t="n"/>
      <c r="I29" s="24" t="n"/>
      <c r="J29" s="12" t="n"/>
      <c r="K29" s="27" t="n"/>
      <c r="L29" s="12" t="n"/>
    </row>
    <row r="30" ht="22" customHeight="1">
      <c r="B30" s="19">
        <f>IF(C30="","EMP-"&amp;TEXT(COUNTA($C$5:C30),"000"))</f>
        <v/>
      </c>
      <c r="C30" s="15" t="n"/>
      <c r="D30" s="15" t="n"/>
      <c r="E30" s="15" t="n"/>
      <c r="F30" s="15" t="n"/>
      <c r="G30" s="15" t="n"/>
      <c r="H30" s="28" t="n"/>
      <c r="I30" s="26" t="n"/>
      <c r="J30" s="15" t="n"/>
      <c r="K30" s="28" t="n"/>
      <c r="L30" s="15" t="n"/>
    </row>
    <row r="31" ht="22" customHeight="1">
      <c r="B31" s="18">
        <f>IF(C31="","EMP-"&amp;TEXT(COUNTA($C$5:C31),"000"))</f>
        <v/>
      </c>
      <c r="C31" s="12" t="n"/>
      <c r="D31" s="12" t="n"/>
      <c r="E31" s="12" t="n"/>
      <c r="F31" s="12" t="n"/>
      <c r="G31" s="12" t="n"/>
      <c r="H31" s="27" t="n"/>
      <c r="I31" s="24" t="n"/>
      <c r="J31" s="12" t="n"/>
      <c r="K31" s="27" t="n"/>
      <c r="L31" s="12" t="n"/>
    </row>
    <row r="32" ht="22" customHeight="1">
      <c r="B32" s="19">
        <f>IF(C32="","EMP-"&amp;TEXT(COUNTA($C$5:C32),"000"))</f>
        <v/>
      </c>
      <c r="C32" s="15" t="n"/>
      <c r="D32" s="15" t="n"/>
      <c r="E32" s="15" t="n"/>
      <c r="F32" s="15" t="n"/>
      <c r="G32" s="15" t="n"/>
      <c r="H32" s="28" t="n"/>
      <c r="I32" s="26" t="n"/>
      <c r="J32" s="15" t="n"/>
      <c r="K32" s="28" t="n"/>
      <c r="L32" s="15" t="n"/>
    </row>
    <row r="33" ht="22" customHeight="1">
      <c r="B33" s="18">
        <f>IF(C33="","EMP-"&amp;TEXT(COUNTA($C$5:C33),"000"))</f>
        <v/>
      </c>
      <c r="C33" s="12" t="n"/>
      <c r="D33" s="12" t="n"/>
      <c r="E33" s="12" t="n"/>
      <c r="F33" s="12" t="n"/>
      <c r="G33" s="12" t="n"/>
      <c r="H33" s="27" t="n"/>
      <c r="I33" s="24" t="n"/>
      <c r="J33" s="12" t="n"/>
      <c r="K33" s="27" t="n"/>
      <c r="L33" s="12" t="n"/>
    </row>
    <row r="34" ht="22" customHeight="1">
      <c r="B34" s="19">
        <f>IF(C34="","EMP-"&amp;TEXT(COUNTA($C$5:C34),"000"))</f>
        <v/>
      </c>
      <c r="C34" s="15" t="n"/>
      <c r="D34" s="15" t="n"/>
      <c r="E34" s="15" t="n"/>
      <c r="F34" s="15" t="n"/>
      <c r="G34" s="15" t="n"/>
      <c r="H34" s="28" t="n"/>
      <c r="I34" s="26" t="n"/>
      <c r="J34" s="15" t="n"/>
      <c r="K34" s="28" t="n"/>
      <c r="L34" s="15" t="n"/>
    </row>
    <row r="35" ht="22" customHeight="1">
      <c r="B35" s="18">
        <f>IF(C35="","EMP-"&amp;TEXT(COUNTA($C$5:C35),"000"))</f>
        <v/>
      </c>
      <c r="C35" s="12" t="n"/>
      <c r="D35" s="12" t="n"/>
      <c r="E35" s="12" t="n"/>
      <c r="F35" s="12" t="n"/>
      <c r="G35" s="12" t="n"/>
      <c r="H35" s="27" t="n"/>
      <c r="I35" s="24" t="n"/>
      <c r="J35" s="12" t="n"/>
      <c r="K35" s="27" t="n"/>
      <c r="L35" s="12" t="n"/>
    </row>
    <row r="36" ht="22" customHeight="1">
      <c r="B36" s="19">
        <f>IF(C36="","EMP-"&amp;TEXT(COUNTA($C$5:C36),"000"))</f>
        <v/>
      </c>
      <c r="C36" s="15" t="n"/>
      <c r="D36" s="15" t="n"/>
      <c r="E36" s="15" t="n"/>
      <c r="F36" s="15" t="n"/>
      <c r="G36" s="15" t="n"/>
      <c r="H36" s="28" t="n"/>
      <c r="I36" s="26" t="n"/>
      <c r="J36" s="15" t="n"/>
      <c r="K36" s="28" t="n"/>
      <c r="L36" s="15" t="n"/>
    </row>
    <row r="37" ht="22" customHeight="1">
      <c r="B37" s="18">
        <f>IF(C37="","EMP-"&amp;TEXT(COUNTA($C$5:C37),"000"))</f>
        <v/>
      </c>
      <c r="C37" s="12" t="n"/>
      <c r="D37" s="12" t="n"/>
      <c r="E37" s="12" t="n"/>
      <c r="F37" s="12" t="n"/>
      <c r="G37" s="12" t="n"/>
      <c r="H37" s="27" t="n"/>
      <c r="I37" s="24" t="n"/>
      <c r="J37" s="12" t="n"/>
      <c r="K37" s="27" t="n"/>
      <c r="L37" s="12" t="n"/>
    </row>
    <row r="38" ht="22" customHeight="1">
      <c r="B38" s="19">
        <f>IF(C38="","EMP-"&amp;TEXT(COUNTA($C$5:C38),"000"))</f>
        <v/>
      </c>
      <c r="C38" s="15" t="n"/>
      <c r="D38" s="15" t="n"/>
      <c r="E38" s="15" t="n"/>
      <c r="F38" s="15" t="n"/>
      <c r="G38" s="15" t="n"/>
      <c r="H38" s="28" t="n"/>
      <c r="I38" s="26" t="n"/>
      <c r="J38" s="15" t="n"/>
      <c r="K38" s="28" t="n"/>
      <c r="L38" s="15" t="n"/>
    </row>
    <row r="39" ht="22" customHeight="1">
      <c r="B39" s="18">
        <f>IF(C39="","EMP-"&amp;TEXT(COUNTA($C$5:C39),"000"))</f>
        <v/>
      </c>
      <c r="C39" s="12" t="n"/>
      <c r="D39" s="12" t="n"/>
      <c r="E39" s="12" t="n"/>
      <c r="F39" s="12" t="n"/>
      <c r="G39" s="12" t="n"/>
      <c r="H39" s="27" t="n"/>
      <c r="I39" s="24" t="n"/>
      <c r="J39" s="12" t="n"/>
      <c r="K39" s="27" t="n"/>
      <c r="L39" s="12" t="n"/>
    </row>
    <row r="40" ht="22" customHeight="1">
      <c r="B40" s="19">
        <f>IF(C40="","EMP-"&amp;TEXT(COUNTA($C$5:C40),"000"))</f>
        <v/>
      </c>
      <c r="C40" s="15" t="n"/>
      <c r="D40" s="15" t="n"/>
      <c r="E40" s="15" t="n"/>
      <c r="F40" s="15" t="n"/>
      <c r="G40" s="15" t="n"/>
      <c r="H40" s="28" t="n"/>
      <c r="I40" s="26" t="n"/>
      <c r="J40" s="15" t="n"/>
      <c r="K40" s="28" t="n"/>
      <c r="L40" s="15" t="n"/>
    </row>
    <row r="41" ht="22" customHeight="1">
      <c r="B41" s="18">
        <f>IF(C41="","EMP-"&amp;TEXT(COUNTA($C$5:C41),"000"))</f>
        <v/>
      </c>
      <c r="C41" s="12" t="n"/>
      <c r="D41" s="12" t="n"/>
      <c r="E41" s="12" t="n"/>
      <c r="F41" s="12" t="n"/>
      <c r="G41" s="12" t="n"/>
      <c r="H41" s="27" t="n"/>
      <c r="I41" s="24" t="n"/>
      <c r="J41" s="12" t="n"/>
      <c r="K41" s="27" t="n"/>
      <c r="L41" s="12" t="n"/>
    </row>
    <row r="42" ht="22" customHeight="1">
      <c r="B42" s="19">
        <f>IF(C42="","EMP-"&amp;TEXT(COUNTA($C$5:C42),"000"))</f>
        <v/>
      </c>
      <c r="C42" s="15" t="n"/>
      <c r="D42" s="15" t="n"/>
      <c r="E42" s="15" t="n"/>
      <c r="F42" s="15" t="n"/>
      <c r="G42" s="15" t="n"/>
      <c r="H42" s="28" t="n"/>
      <c r="I42" s="26" t="n"/>
      <c r="J42" s="15" t="n"/>
      <c r="K42" s="28" t="n"/>
      <c r="L42" s="15" t="n"/>
    </row>
    <row r="43" ht="22" customHeight="1">
      <c r="B43" s="18">
        <f>IF(C43="","EMP-"&amp;TEXT(COUNTA($C$5:C43),"000"))</f>
        <v/>
      </c>
      <c r="C43" s="12" t="n"/>
      <c r="D43" s="12" t="n"/>
      <c r="E43" s="12" t="n"/>
      <c r="F43" s="12" t="n"/>
      <c r="G43" s="12" t="n"/>
      <c r="H43" s="27" t="n"/>
      <c r="I43" s="24" t="n"/>
      <c r="J43" s="12" t="n"/>
      <c r="K43" s="27" t="n"/>
      <c r="L43" s="12" t="n"/>
    </row>
    <row r="44" ht="22" customHeight="1">
      <c r="B44" s="19">
        <f>IF(C44="","EMP-"&amp;TEXT(COUNTA($C$5:C44),"000"))</f>
        <v/>
      </c>
      <c r="C44" s="15" t="n"/>
      <c r="D44" s="15" t="n"/>
      <c r="E44" s="15" t="n"/>
      <c r="F44" s="15" t="n"/>
      <c r="G44" s="15" t="n"/>
      <c r="H44" s="28" t="n"/>
      <c r="I44" s="26" t="n"/>
      <c r="J44" s="15" t="n"/>
      <c r="K44" s="28" t="n"/>
      <c r="L44" s="15" t="n"/>
    </row>
    <row r="45" ht="22" customHeight="1">
      <c r="B45" s="18">
        <f>IF(C45="","EMP-"&amp;TEXT(COUNTA($C$5:C45),"000"))</f>
        <v/>
      </c>
      <c r="C45" s="12" t="n"/>
      <c r="D45" s="12" t="n"/>
      <c r="E45" s="12" t="n"/>
      <c r="F45" s="12" t="n"/>
      <c r="G45" s="12" t="n"/>
      <c r="H45" s="27" t="n"/>
      <c r="I45" s="24" t="n"/>
      <c r="J45" s="12" t="n"/>
      <c r="K45" s="27" t="n"/>
      <c r="L45" s="12" t="n"/>
    </row>
    <row r="46" ht="22" customHeight="1">
      <c r="B46" s="19">
        <f>IF(C46="","EMP-"&amp;TEXT(COUNTA($C$5:C46),"000"))</f>
        <v/>
      </c>
      <c r="C46" s="15" t="n"/>
      <c r="D46" s="15" t="n"/>
      <c r="E46" s="15" t="n"/>
      <c r="F46" s="15" t="n"/>
      <c r="G46" s="15" t="n"/>
      <c r="H46" s="28" t="n"/>
      <c r="I46" s="26" t="n"/>
      <c r="J46" s="15" t="n"/>
      <c r="K46" s="28" t="n"/>
      <c r="L46" s="15" t="n"/>
    </row>
    <row r="47" ht="22" customHeight="1">
      <c r="B47" s="18">
        <f>IF(C47="","EMP-"&amp;TEXT(COUNTA($C$5:C47),"000"))</f>
        <v/>
      </c>
      <c r="C47" s="12" t="n"/>
      <c r="D47" s="12" t="n"/>
      <c r="E47" s="12" t="n"/>
      <c r="F47" s="12" t="n"/>
      <c r="G47" s="12" t="n"/>
      <c r="H47" s="27" t="n"/>
      <c r="I47" s="24" t="n"/>
      <c r="J47" s="12" t="n"/>
      <c r="K47" s="27" t="n"/>
      <c r="L47" s="12" t="n"/>
    </row>
    <row r="48" ht="22" customHeight="1">
      <c r="B48" s="19">
        <f>IF(C48="","EMP-"&amp;TEXT(COUNTA($C$5:C48),"000"))</f>
        <v/>
      </c>
      <c r="C48" s="15" t="n"/>
      <c r="D48" s="15" t="n"/>
      <c r="E48" s="15" t="n"/>
      <c r="F48" s="15" t="n"/>
      <c r="G48" s="15" t="n"/>
      <c r="H48" s="28" t="n"/>
      <c r="I48" s="26" t="n"/>
      <c r="J48" s="15" t="n"/>
      <c r="K48" s="28" t="n"/>
      <c r="L48" s="15" t="n"/>
    </row>
    <row r="49" ht="22" customHeight="1">
      <c r="B49" s="18">
        <f>IF(C49="","EMP-"&amp;TEXT(COUNTA($C$5:C49),"000"))</f>
        <v/>
      </c>
      <c r="C49" s="12" t="n"/>
      <c r="D49" s="12" t="n"/>
      <c r="E49" s="12" t="n"/>
      <c r="F49" s="12" t="n"/>
      <c r="G49" s="12" t="n"/>
      <c r="H49" s="27" t="n"/>
      <c r="I49" s="24" t="n"/>
      <c r="J49" s="12" t="n"/>
      <c r="K49" s="27" t="n"/>
      <c r="L49" s="12" t="n"/>
    </row>
    <row r="50" ht="22" customHeight="1">
      <c r="B50" s="19">
        <f>IF(C50="","EMP-"&amp;TEXT(COUNTA($C$5:C50),"000"))</f>
        <v/>
      </c>
      <c r="C50" s="15" t="n"/>
      <c r="D50" s="15" t="n"/>
      <c r="E50" s="15" t="n"/>
      <c r="F50" s="15" t="n"/>
      <c r="G50" s="15" t="n"/>
      <c r="H50" s="28" t="n"/>
      <c r="I50" s="26" t="n"/>
      <c r="J50" s="15" t="n"/>
      <c r="K50" s="28" t="n"/>
      <c r="L50" s="15" t="n"/>
    </row>
    <row r="51" ht="22" customHeight="1">
      <c r="B51" s="18">
        <f>IF(C51="","EMP-"&amp;TEXT(COUNTA($C$5:C51),"000"))</f>
        <v/>
      </c>
      <c r="C51" s="12" t="n"/>
      <c r="D51" s="12" t="n"/>
      <c r="E51" s="12" t="n"/>
      <c r="F51" s="12" t="n"/>
      <c r="G51" s="12" t="n"/>
      <c r="H51" s="27" t="n"/>
      <c r="I51" s="24" t="n"/>
      <c r="J51" s="12" t="n"/>
      <c r="K51" s="27" t="n"/>
      <c r="L51" s="12" t="n"/>
    </row>
    <row r="52" ht="22" customHeight="1">
      <c r="B52" s="19">
        <f>IF(C52="","EMP-"&amp;TEXT(COUNTA($C$5:C52),"000"))</f>
        <v/>
      </c>
      <c r="C52" s="15" t="n"/>
      <c r="D52" s="15" t="n"/>
      <c r="E52" s="15" t="n"/>
      <c r="F52" s="15" t="n"/>
      <c r="G52" s="15" t="n"/>
      <c r="H52" s="28" t="n"/>
      <c r="I52" s="26" t="n"/>
      <c r="J52" s="15" t="n"/>
      <c r="K52" s="28" t="n"/>
      <c r="L52" s="15" t="n"/>
    </row>
    <row r="53" ht="22" customHeight="1">
      <c r="B53" s="18">
        <f>IF(C53="","EMP-"&amp;TEXT(COUNTA($C$5:C53),"000"))</f>
        <v/>
      </c>
      <c r="C53" s="12" t="n"/>
      <c r="D53" s="12" t="n"/>
      <c r="E53" s="12" t="n"/>
      <c r="F53" s="12" t="n"/>
      <c r="G53" s="12" t="n"/>
      <c r="H53" s="27" t="n"/>
      <c r="I53" s="24" t="n"/>
      <c r="J53" s="12" t="n"/>
      <c r="K53" s="27" t="n"/>
      <c r="L53" s="12" t="n"/>
    </row>
    <row r="54" ht="22" customHeight="1">
      <c r="B54" s="19">
        <f>IF(C54="","EMP-"&amp;TEXT(COUNTA($C$5:C54),"000"))</f>
        <v/>
      </c>
      <c r="C54" s="15" t="n"/>
      <c r="D54" s="15" t="n"/>
      <c r="E54" s="15" t="n"/>
      <c r="F54" s="15" t="n"/>
      <c r="G54" s="15" t="n"/>
      <c r="H54" s="28" t="n"/>
      <c r="I54" s="26" t="n"/>
      <c r="J54" s="15" t="n"/>
      <c r="K54" s="28" t="n"/>
      <c r="L54" s="15" t="n"/>
    </row>
    <row r="55" ht="22" customHeight="1">
      <c r="B55" s="18">
        <f>IF(C55="","EMP-"&amp;TEXT(COUNTA($C$5:C55),"000"))</f>
        <v/>
      </c>
      <c r="C55" s="12" t="n"/>
      <c r="D55" s="12" t="n"/>
      <c r="E55" s="12" t="n"/>
      <c r="F55" s="12" t="n"/>
      <c r="G55" s="12" t="n"/>
      <c r="H55" s="27" t="n"/>
      <c r="I55" s="24" t="n"/>
      <c r="J55" s="12" t="n"/>
      <c r="K55" s="27" t="n"/>
      <c r="L55" s="12" t="n"/>
    </row>
    <row r="56" ht="22" customHeight="1">
      <c r="B56" s="19">
        <f>IF(C56="","EMP-"&amp;TEXT(COUNTA($C$5:C56),"000"))</f>
        <v/>
      </c>
      <c r="C56" s="15" t="n"/>
      <c r="D56" s="15" t="n"/>
      <c r="E56" s="15" t="n"/>
      <c r="F56" s="15" t="n"/>
      <c r="G56" s="15" t="n"/>
      <c r="H56" s="28" t="n"/>
      <c r="I56" s="26" t="n"/>
      <c r="J56" s="15" t="n"/>
      <c r="K56" s="28" t="n"/>
      <c r="L56" s="15" t="n"/>
    </row>
    <row r="57" ht="22" customHeight="1">
      <c r="B57" s="18">
        <f>IF(C57="","EMP-"&amp;TEXT(COUNTA($C$5:C57),"000"))</f>
        <v/>
      </c>
      <c r="C57" s="12" t="n"/>
      <c r="D57" s="12" t="n"/>
      <c r="E57" s="12" t="n"/>
      <c r="F57" s="12" t="n"/>
      <c r="G57" s="12" t="n"/>
      <c r="H57" s="27" t="n"/>
      <c r="I57" s="24" t="n"/>
      <c r="J57" s="12" t="n"/>
      <c r="K57" s="27" t="n"/>
      <c r="L57" s="12" t="n"/>
    </row>
    <row r="58" ht="22" customHeight="1">
      <c r="B58" s="19">
        <f>IF(C58="","EMP-"&amp;TEXT(COUNTA($C$5:C58),"000"))</f>
        <v/>
      </c>
      <c r="C58" s="15" t="n"/>
      <c r="D58" s="15" t="n"/>
      <c r="E58" s="15" t="n"/>
      <c r="F58" s="15" t="n"/>
      <c r="G58" s="15" t="n"/>
      <c r="H58" s="28" t="n"/>
      <c r="I58" s="26" t="n"/>
      <c r="J58" s="15" t="n"/>
      <c r="K58" s="28" t="n"/>
      <c r="L58" s="15" t="n"/>
    </row>
    <row r="59" ht="22" customHeight="1">
      <c r="B59" s="18">
        <f>IF(C59="","EMP-"&amp;TEXT(COUNTA($C$5:C59),"000"))</f>
        <v/>
      </c>
      <c r="C59" s="12" t="n"/>
      <c r="D59" s="12" t="n"/>
      <c r="E59" s="12" t="n"/>
      <c r="F59" s="12" t="n"/>
      <c r="G59" s="12" t="n"/>
      <c r="H59" s="27" t="n"/>
      <c r="I59" s="24" t="n"/>
      <c r="J59" s="12" t="n"/>
      <c r="K59" s="27" t="n"/>
      <c r="L59" s="12" t="n"/>
    </row>
    <row r="60" ht="22" customHeight="1">
      <c r="B60" s="19">
        <f>IF(C60="","EMP-"&amp;TEXT(COUNTA($C$5:C60),"000"))</f>
        <v/>
      </c>
      <c r="C60" s="15" t="n"/>
      <c r="D60" s="15" t="n"/>
      <c r="E60" s="15" t="n"/>
      <c r="F60" s="15" t="n"/>
      <c r="G60" s="15" t="n"/>
      <c r="H60" s="28" t="n"/>
      <c r="I60" s="26" t="n"/>
      <c r="J60" s="15" t="n"/>
      <c r="K60" s="28" t="n"/>
      <c r="L60" s="15" t="n"/>
    </row>
    <row r="61" ht="22" customHeight="1">
      <c r="B61" s="18">
        <f>IF(C61="","EMP-"&amp;TEXT(COUNTA($C$5:C61),"000"))</f>
        <v/>
      </c>
      <c r="C61" s="12" t="n"/>
      <c r="D61" s="12" t="n"/>
      <c r="E61" s="12" t="n"/>
      <c r="F61" s="12" t="n"/>
      <c r="G61" s="12" t="n"/>
      <c r="H61" s="27" t="n"/>
      <c r="I61" s="24" t="n"/>
      <c r="J61" s="12" t="n"/>
      <c r="K61" s="27" t="n"/>
      <c r="L61" s="12" t="n"/>
    </row>
    <row r="62" ht="22" customHeight="1">
      <c r="B62" s="19">
        <f>IF(C62="","EMP-"&amp;TEXT(COUNTA($C$5:C62),"000"))</f>
        <v/>
      </c>
      <c r="C62" s="15" t="n"/>
      <c r="D62" s="15" t="n"/>
      <c r="E62" s="15" t="n"/>
      <c r="F62" s="15" t="n"/>
      <c r="G62" s="15" t="n"/>
      <c r="H62" s="28" t="n"/>
      <c r="I62" s="26" t="n"/>
      <c r="J62" s="15" t="n"/>
      <c r="K62" s="28" t="n"/>
      <c r="L62" s="15" t="n"/>
    </row>
    <row r="63" ht="22" customHeight="1">
      <c r="B63" s="18">
        <f>IF(C63="","EMP-"&amp;TEXT(COUNTA($C$5:C63),"000"))</f>
        <v/>
      </c>
      <c r="C63" s="12" t="n"/>
      <c r="D63" s="12" t="n"/>
      <c r="E63" s="12" t="n"/>
      <c r="F63" s="12" t="n"/>
      <c r="G63" s="12" t="n"/>
      <c r="H63" s="27" t="n"/>
      <c r="I63" s="24" t="n"/>
      <c r="J63" s="12" t="n"/>
      <c r="K63" s="27" t="n"/>
      <c r="L63" s="12" t="n"/>
    </row>
    <row r="64" ht="22" customHeight="1">
      <c r="B64" s="19">
        <f>IF(C64="","EMP-"&amp;TEXT(COUNTA($C$5:C64),"000"))</f>
        <v/>
      </c>
      <c r="C64" s="15" t="n"/>
      <c r="D64" s="15" t="n"/>
      <c r="E64" s="15" t="n"/>
      <c r="F64" s="15" t="n"/>
      <c r="G64" s="15" t="n"/>
      <c r="H64" s="28" t="n"/>
      <c r="I64" s="26" t="n"/>
      <c r="J64" s="15" t="n"/>
      <c r="K64" s="28" t="n"/>
      <c r="L64" s="15" t="n"/>
    </row>
    <row r="65" ht="22" customHeight="1">
      <c r="B65" s="18">
        <f>IF(C65="","EMP-"&amp;TEXT(COUNTA($C$5:C65),"000"))</f>
        <v/>
      </c>
      <c r="C65" s="12" t="n"/>
      <c r="D65" s="12" t="n"/>
      <c r="E65" s="12" t="n"/>
      <c r="F65" s="12" t="n"/>
      <c r="G65" s="12" t="n"/>
      <c r="H65" s="27" t="n"/>
      <c r="I65" s="24" t="n"/>
      <c r="J65" s="12" t="n"/>
      <c r="K65" s="27" t="n"/>
      <c r="L65" s="12" t="n"/>
    </row>
    <row r="66" ht="22" customHeight="1">
      <c r="B66" s="19">
        <f>IF(C66="","EMP-"&amp;TEXT(COUNTA($C$5:C66),"000"))</f>
        <v/>
      </c>
      <c r="C66" s="15" t="n"/>
      <c r="D66" s="15" t="n"/>
      <c r="E66" s="15" t="n"/>
      <c r="F66" s="15" t="n"/>
      <c r="G66" s="15" t="n"/>
      <c r="H66" s="28" t="n"/>
      <c r="I66" s="26" t="n"/>
      <c r="J66" s="15" t="n"/>
      <c r="K66" s="28" t="n"/>
      <c r="L66" s="15" t="n"/>
    </row>
    <row r="67" ht="22" customHeight="1">
      <c r="B67" s="18">
        <f>IF(C67="","EMP-"&amp;TEXT(COUNTA($C$5:C67),"000"))</f>
        <v/>
      </c>
      <c r="C67" s="12" t="n"/>
      <c r="D67" s="12" t="n"/>
      <c r="E67" s="12" t="n"/>
      <c r="F67" s="12" t="n"/>
      <c r="G67" s="12" t="n"/>
      <c r="H67" s="27" t="n"/>
      <c r="I67" s="24" t="n"/>
      <c r="J67" s="12" t="n"/>
      <c r="K67" s="27" t="n"/>
      <c r="L67" s="12" t="n"/>
    </row>
    <row r="68" ht="22" customHeight="1">
      <c r="B68" s="19">
        <f>IF(C68="","EMP-"&amp;TEXT(COUNTA($C$5:C68),"000"))</f>
        <v/>
      </c>
      <c r="C68" s="15" t="n"/>
      <c r="D68" s="15" t="n"/>
      <c r="E68" s="15" t="n"/>
      <c r="F68" s="15" t="n"/>
      <c r="G68" s="15" t="n"/>
      <c r="H68" s="28" t="n"/>
      <c r="I68" s="26" t="n"/>
      <c r="J68" s="15" t="n"/>
      <c r="K68" s="28" t="n"/>
      <c r="L68" s="15" t="n"/>
    </row>
    <row r="69" ht="22" customHeight="1">
      <c r="B69" s="18">
        <f>IF(C69="","EMP-"&amp;TEXT(COUNTA($C$5:C69),"000"))</f>
        <v/>
      </c>
      <c r="C69" s="12" t="n"/>
      <c r="D69" s="12" t="n"/>
      <c r="E69" s="12" t="n"/>
      <c r="F69" s="12" t="n"/>
      <c r="G69" s="12" t="n"/>
      <c r="H69" s="27" t="n"/>
      <c r="I69" s="24" t="n"/>
      <c r="J69" s="12" t="n"/>
      <c r="K69" s="27" t="n"/>
      <c r="L69" s="12" t="n"/>
    </row>
    <row r="70" ht="22" customHeight="1">
      <c r="B70" s="19">
        <f>IF(C70="","EMP-"&amp;TEXT(COUNTA($C$5:C70),"000"))</f>
        <v/>
      </c>
      <c r="C70" s="15" t="n"/>
      <c r="D70" s="15" t="n"/>
      <c r="E70" s="15" t="n"/>
      <c r="F70" s="15" t="n"/>
      <c r="G70" s="15" t="n"/>
      <c r="H70" s="28" t="n"/>
      <c r="I70" s="26" t="n"/>
      <c r="J70" s="15" t="n"/>
      <c r="K70" s="28" t="n"/>
      <c r="L70" s="15" t="n"/>
    </row>
    <row r="71" ht="22" customHeight="1">
      <c r="B71" s="18">
        <f>IF(C71="","EMP-"&amp;TEXT(COUNTA($C$5:C71),"000"))</f>
        <v/>
      </c>
      <c r="C71" s="12" t="n"/>
      <c r="D71" s="12" t="n"/>
      <c r="E71" s="12" t="n"/>
      <c r="F71" s="12" t="n"/>
      <c r="G71" s="12" t="n"/>
      <c r="H71" s="27" t="n"/>
      <c r="I71" s="24" t="n"/>
      <c r="J71" s="12" t="n"/>
      <c r="K71" s="27" t="n"/>
      <c r="L71" s="12" t="n"/>
    </row>
    <row r="72" ht="22" customHeight="1">
      <c r="B72" s="19">
        <f>IF(C72="","EMP-"&amp;TEXT(COUNTA($C$5:C72),"000"))</f>
        <v/>
      </c>
      <c r="C72" s="15" t="n"/>
      <c r="D72" s="15" t="n"/>
      <c r="E72" s="15" t="n"/>
      <c r="F72" s="15" t="n"/>
      <c r="G72" s="15" t="n"/>
      <c r="H72" s="28" t="n"/>
      <c r="I72" s="26" t="n"/>
      <c r="J72" s="15" t="n"/>
      <c r="K72" s="28" t="n"/>
      <c r="L72" s="15" t="n"/>
    </row>
    <row r="73" ht="22" customHeight="1">
      <c r="B73" s="18">
        <f>IF(C73="","EMP-"&amp;TEXT(COUNTA($C$5:C73),"000"))</f>
        <v/>
      </c>
      <c r="C73" s="12" t="n"/>
      <c r="D73" s="12" t="n"/>
      <c r="E73" s="12" t="n"/>
      <c r="F73" s="12" t="n"/>
      <c r="G73" s="12" t="n"/>
      <c r="H73" s="27" t="n"/>
      <c r="I73" s="24" t="n"/>
      <c r="J73" s="12" t="n"/>
      <c r="K73" s="27" t="n"/>
      <c r="L73" s="12" t="n"/>
    </row>
    <row r="74" ht="22" customHeight="1">
      <c r="B74" s="19">
        <f>IF(C74="","EMP-"&amp;TEXT(COUNTA($C$5:C74),"000"))</f>
        <v/>
      </c>
      <c r="C74" s="15" t="n"/>
      <c r="D74" s="15" t="n"/>
      <c r="E74" s="15" t="n"/>
      <c r="F74" s="15" t="n"/>
      <c r="G74" s="15" t="n"/>
      <c r="H74" s="28" t="n"/>
      <c r="I74" s="26" t="n"/>
      <c r="J74" s="15" t="n"/>
      <c r="K74" s="28" t="n"/>
      <c r="L74" s="15" t="n"/>
    </row>
    <row r="75" ht="22" customHeight="1">
      <c r="B75" s="18">
        <f>IF(C75="","EMP-"&amp;TEXT(COUNTA($C$5:C75),"000"))</f>
        <v/>
      </c>
      <c r="C75" s="12" t="n"/>
      <c r="D75" s="12" t="n"/>
      <c r="E75" s="12" t="n"/>
      <c r="F75" s="12" t="n"/>
      <c r="G75" s="12" t="n"/>
      <c r="H75" s="27" t="n"/>
      <c r="I75" s="24" t="n"/>
      <c r="J75" s="12" t="n"/>
      <c r="K75" s="27" t="n"/>
      <c r="L75" s="12" t="n"/>
    </row>
    <row r="76" ht="22" customHeight="1">
      <c r="B76" s="19">
        <f>IF(C76="","EMP-"&amp;TEXT(COUNTA($C$5:C76),"000"))</f>
        <v/>
      </c>
      <c r="C76" s="15" t="n"/>
      <c r="D76" s="15" t="n"/>
      <c r="E76" s="15" t="n"/>
      <c r="F76" s="15" t="n"/>
      <c r="G76" s="15" t="n"/>
      <c r="H76" s="28" t="n"/>
      <c r="I76" s="26" t="n"/>
      <c r="J76" s="15" t="n"/>
      <c r="K76" s="28" t="n"/>
      <c r="L76" s="15" t="n"/>
    </row>
    <row r="77" ht="22" customHeight="1">
      <c r="B77" s="18">
        <f>IF(C77="","EMP-"&amp;TEXT(COUNTA($C$5:C77),"000"))</f>
        <v/>
      </c>
      <c r="C77" s="12" t="n"/>
      <c r="D77" s="12" t="n"/>
      <c r="E77" s="12" t="n"/>
      <c r="F77" s="12" t="n"/>
      <c r="G77" s="12" t="n"/>
      <c r="H77" s="27" t="n"/>
      <c r="I77" s="24" t="n"/>
      <c r="J77" s="12" t="n"/>
      <c r="K77" s="27" t="n"/>
      <c r="L77" s="12" t="n"/>
    </row>
    <row r="78" ht="22" customHeight="1">
      <c r="B78" s="19">
        <f>IF(C78="","EMP-"&amp;TEXT(COUNTA($C$5:C78),"000"))</f>
        <v/>
      </c>
      <c r="C78" s="15" t="n"/>
      <c r="D78" s="15" t="n"/>
      <c r="E78" s="15" t="n"/>
      <c r="F78" s="15" t="n"/>
      <c r="G78" s="15" t="n"/>
      <c r="H78" s="28" t="n"/>
      <c r="I78" s="26" t="n"/>
      <c r="J78" s="15" t="n"/>
      <c r="K78" s="28" t="n"/>
      <c r="L78" s="15" t="n"/>
    </row>
    <row r="79" ht="22" customHeight="1">
      <c r="B79" s="18">
        <f>IF(C79="","EMP-"&amp;TEXT(COUNTA($C$5:C79),"000"))</f>
        <v/>
      </c>
      <c r="C79" s="12" t="n"/>
      <c r="D79" s="12" t="n"/>
      <c r="E79" s="12" t="n"/>
      <c r="F79" s="12" t="n"/>
      <c r="G79" s="12" t="n"/>
      <c r="H79" s="27" t="n"/>
      <c r="I79" s="24" t="n"/>
      <c r="J79" s="12" t="n"/>
      <c r="K79" s="27" t="n"/>
      <c r="L79" s="12" t="n"/>
    </row>
    <row r="80" ht="22" customHeight="1">
      <c r="B80" s="19">
        <f>IF(C80="","EMP-"&amp;TEXT(COUNTA($C$5:C80),"000"))</f>
        <v/>
      </c>
      <c r="C80" s="15" t="n"/>
      <c r="D80" s="15" t="n"/>
      <c r="E80" s="15" t="n"/>
      <c r="F80" s="15" t="n"/>
      <c r="G80" s="15" t="n"/>
      <c r="H80" s="28" t="n"/>
      <c r="I80" s="26" t="n"/>
      <c r="J80" s="15" t="n"/>
      <c r="K80" s="28" t="n"/>
      <c r="L80" s="15" t="n"/>
    </row>
    <row r="81" ht="22" customHeight="1">
      <c r="B81" s="18">
        <f>IF(C81="","EMP-"&amp;TEXT(COUNTA($C$5:C81),"000"))</f>
        <v/>
      </c>
      <c r="C81" s="12" t="n"/>
      <c r="D81" s="12" t="n"/>
      <c r="E81" s="12" t="n"/>
      <c r="F81" s="12" t="n"/>
      <c r="G81" s="12" t="n"/>
      <c r="H81" s="27" t="n"/>
      <c r="I81" s="24" t="n"/>
      <c r="J81" s="12" t="n"/>
      <c r="K81" s="27" t="n"/>
      <c r="L81" s="12" t="n"/>
    </row>
    <row r="82" ht="22" customHeight="1">
      <c r="B82" s="19">
        <f>IF(C82="","EMP-"&amp;TEXT(COUNTA($C$5:C82),"000"))</f>
        <v/>
      </c>
      <c r="C82" s="15" t="n"/>
      <c r="D82" s="15" t="n"/>
      <c r="E82" s="15" t="n"/>
      <c r="F82" s="15" t="n"/>
      <c r="G82" s="15" t="n"/>
      <c r="H82" s="28" t="n"/>
      <c r="I82" s="26" t="n"/>
      <c r="J82" s="15" t="n"/>
      <c r="K82" s="28" t="n"/>
      <c r="L82" s="15" t="n"/>
    </row>
    <row r="83" ht="22" customHeight="1">
      <c r="B83" s="18">
        <f>IF(C83="","EMP-"&amp;TEXT(COUNTA($C$5:C83),"000"))</f>
        <v/>
      </c>
      <c r="C83" s="12" t="n"/>
      <c r="D83" s="12" t="n"/>
      <c r="E83" s="12" t="n"/>
      <c r="F83" s="12" t="n"/>
      <c r="G83" s="12" t="n"/>
      <c r="H83" s="27" t="n"/>
      <c r="I83" s="24" t="n"/>
      <c r="J83" s="12" t="n"/>
      <c r="K83" s="27" t="n"/>
      <c r="L83" s="12" t="n"/>
    </row>
    <row r="84" ht="22" customHeight="1">
      <c r="B84" s="19">
        <f>IF(C84="","EMP-"&amp;TEXT(COUNTA($C$5:C84),"000"))</f>
        <v/>
      </c>
      <c r="C84" s="15" t="n"/>
      <c r="D84" s="15" t="n"/>
      <c r="E84" s="15" t="n"/>
      <c r="F84" s="15" t="n"/>
      <c r="G84" s="15" t="n"/>
      <c r="H84" s="28" t="n"/>
      <c r="I84" s="26" t="n"/>
      <c r="J84" s="15" t="n"/>
      <c r="K84" s="28" t="n"/>
      <c r="L84" s="15" t="n"/>
    </row>
    <row r="85" ht="22" customHeight="1">
      <c r="B85" s="18">
        <f>IF(C85="","EMP-"&amp;TEXT(COUNTA($C$5:C85),"000"))</f>
        <v/>
      </c>
      <c r="C85" s="12" t="n"/>
      <c r="D85" s="12" t="n"/>
      <c r="E85" s="12" t="n"/>
      <c r="F85" s="12" t="n"/>
      <c r="G85" s="12" t="n"/>
      <c r="H85" s="27" t="n"/>
      <c r="I85" s="24" t="n"/>
      <c r="J85" s="12" t="n"/>
      <c r="K85" s="27" t="n"/>
      <c r="L85" s="12" t="n"/>
    </row>
    <row r="86" ht="22" customHeight="1">
      <c r="B86" s="19">
        <f>IF(C86="","EMP-"&amp;TEXT(COUNTA($C$5:C86),"000"))</f>
        <v/>
      </c>
      <c r="C86" s="15" t="n"/>
      <c r="D86" s="15" t="n"/>
      <c r="E86" s="15" t="n"/>
      <c r="F86" s="15" t="n"/>
      <c r="G86" s="15" t="n"/>
      <c r="H86" s="28" t="n"/>
      <c r="I86" s="26" t="n"/>
      <c r="J86" s="15" t="n"/>
      <c r="K86" s="28" t="n"/>
      <c r="L86" s="15" t="n"/>
    </row>
    <row r="87" ht="22" customHeight="1">
      <c r="B87" s="18">
        <f>IF(C87="","EMP-"&amp;TEXT(COUNTA($C$5:C87),"000"))</f>
        <v/>
      </c>
      <c r="C87" s="12" t="n"/>
      <c r="D87" s="12" t="n"/>
      <c r="E87" s="12" t="n"/>
      <c r="F87" s="12" t="n"/>
      <c r="G87" s="12" t="n"/>
      <c r="H87" s="27" t="n"/>
      <c r="I87" s="24" t="n"/>
      <c r="J87" s="12" t="n"/>
      <c r="K87" s="27" t="n"/>
      <c r="L87" s="12" t="n"/>
    </row>
    <row r="88" ht="22" customHeight="1">
      <c r="B88" s="19">
        <f>IF(C88="","EMP-"&amp;TEXT(COUNTA($C$5:C88),"000"))</f>
        <v/>
      </c>
      <c r="C88" s="15" t="n"/>
      <c r="D88" s="15" t="n"/>
      <c r="E88" s="15" t="n"/>
      <c r="F88" s="15" t="n"/>
      <c r="G88" s="15" t="n"/>
      <c r="H88" s="28" t="n"/>
      <c r="I88" s="26" t="n"/>
      <c r="J88" s="15" t="n"/>
      <c r="K88" s="28" t="n"/>
      <c r="L88" s="15" t="n"/>
    </row>
    <row r="89" ht="22" customHeight="1">
      <c r="B89" s="18">
        <f>IF(C89="","EMP-"&amp;TEXT(COUNTA($C$5:C89),"000"))</f>
        <v/>
      </c>
      <c r="C89" s="12" t="n"/>
      <c r="D89" s="12" t="n"/>
      <c r="E89" s="12" t="n"/>
      <c r="F89" s="12" t="n"/>
      <c r="G89" s="12" t="n"/>
      <c r="H89" s="27" t="n"/>
      <c r="I89" s="24" t="n"/>
      <c r="J89" s="12" t="n"/>
      <c r="K89" s="27" t="n"/>
      <c r="L89" s="12" t="n"/>
    </row>
    <row r="90" ht="22" customHeight="1">
      <c r="B90" s="19">
        <f>IF(C90="","EMP-"&amp;TEXT(COUNTA($C$5:C90),"000"))</f>
        <v/>
      </c>
      <c r="C90" s="15" t="n"/>
      <c r="D90" s="15" t="n"/>
      <c r="E90" s="15" t="n"/>
      <c r="F90" s="15" t="n"/>
      <c r="G90" s="15" t="n"/>
      <c r="H90" s="28" t="n"/>
      <c r="I90" s="26" t="n"/>
      <c r="J90" s="15" t="n"/>
      <c r="K90" s="28" t="n"/>
      <c r="L90" s="15" t="n"/>
    </row>
    <row r="91" ht="22" customHeight="1">
      <c r="B91" s="18">
        <f>IF(C91="","EMP-"&amp;TEXT(COUNTA($C$5:C91),"000"))</f>
        <v/>
      </c>
      <c r="C91" s="12" t="n"/>
      <c r="D91" s="12" t="n"/>
      <c r="E91" s="12" t="n"/>
      <c r="F91" s="12" t="n"/>
      <c r="G91" s="12" t="n"/>
      <c r="H91" s="27" t="n"/>
      <c r="I91" s="24" t="n"/>
      <c r="J91" s="12" t="n"/>
      <c r="K91" s="27" t="n"/>
      <c r="L91" s="12" t="n"/>
    </row>
    <row r="92" ht="22" customHeight="1">
      <c r="B92" s="19">
        <f>IF(C92="","EMP-"&amp;TEXT(COUNTA($C$5:C92),"000"))</f>
        <v/>
      </c>
      <c r="C92" s="15" t="n"/>
      <c r="D92" s="15" t="n"/>
      <c r="E92" s="15" t="n"/>
      <c r="F92" s="15" t="n"/>
      <c r="G92" s="15" t="n"/>
      <c r="H92" s="28" t="n"/>
      <c r="I92" s="26" t="n"/>
      <c r="J92" s="15" t="n"/>
      <c r="K92" s="28" t="n"/>
      <c r="L92" s="15" t="n"/>
    </row>
    <row r="93" ht="22" customHeight="1">
      <c r="B93" s="18">
        <f>IF(C93="","EMP-"&amp;TEXT(COUNTA($C$5:C93),"000"))</f>
        <v/>
      </c>
      <c r="C93" s="12" t="n"/>
      <c r="D93" s="12" t="n"/>
      <c r="E93" s="12" t="n"/>
      <c r="F93" s="12" t="n"/>
      <c r="G93" s="12" t="n"/>
      <c r="H93" s="27" t="n"/>
      <c r="I93" s="24" t="n"/>
      <c r="J93" s="12" t="n"/>
      <c r="K93" s="27" t="n"/>
      <c r="L93" s="12" t="n"/>
    </row>
    <row r="94" ht="22" customHeight="1">
      <c r="B94" s="19">
        <f>IF(C94="","EMP-"&amp;TEXT(COUNTA($C$5:C94),"000"))</f>
        <v/>
      </c>
      <c r="C94" s="15" t="n"/>
      <c r="D94" s="15" t="n"/>
      <c r="E94" s="15" t="n"/>
      <c r="F94" s="15" t="n"/>
      <c r="G94" s="15" t="n"/>
      <c r="H94" s="28" t="n"/>
      <c r="I94" s="26" t="n"/>
      <c r="J94" s="15" t="n"/>
      <c r="K94" s="28" t="n"/>
      <c r="L94" s="15" t="n"/>
    </row>
    <row r="95" ht="22" customHeight="1">
      <c r="B95" s="18">
        <f>IF(C95="","EMP-"&amp;TEXT(COUNTA($C$5:C95),"000"))</f>
        <v/>
      </c>
      <c r="C95" s="12" t="n"/>
      <c r="D95" s="12" t="n"/>
      <c r="E95" s="12" t="n"/>
      <c r="F95" s="12" t="n"/>
      <c r="G95" s="12" t="n"/>
      <c r="H95" s="27" t="n"/>
      <c r="I95" s="24" t="n"/>
      <c r="J95" s="12" t="n"/>
      <c r="K95" s="27" t="n"/>
      <c r="L95" s="12" t="n"/>
    </row>
    <row r="96" ht="22" customHeight="1">
      <c r="B96" s="19">
        <f>IF(C96="","EMP-"&amp;TEXT(COUNTA($C$5:C96),"000"))</f>
        <v/>
      </c>
      <c r="C96" s="15" t="n"/>
      <c r="D96" s="15" t="n"/>
      <c r="E96" s="15" t="n"/>
      <c r="F96" s="15" t="n"/>
      <c r="G96" s="15" t="n"/>
      <c r="H96" s="28" t="n"/>
      <c r="I96" s="26" t="n"/>
      <c r="J96" s="15" t="n"/>
      <c r="K96" s="28" t="n"/>
      <c r="L96" s="15" t="n"/>
    </row>
    <row r="97" ht="22" customHeight="1">
      <c r="B97" s="18">
        <f>IF(C97="","EMP-"&amp;TEXT(COUNTA($C$5:C97),"000"))</f>
        <v/>
      </c>
      <c r="C97" s="12" t="n"/>
      <c r="D97" s="12" t="n"/>
      <c r="E97" s="12" t="n"/>
      <c r="F97" s="12" t="n"/>
      <c r="G97" s="12" t="n"/>
      <c r="H97" s="27" t="n"/>
      <c r="I97" s="24" t="n"/>
      <c r="J97" s="12" t="n"/>
      <c r="K97" s="27" t="n"/>
      <c r="L97" s="12" t="n"/>
    </row>
    <row r="98" ht="22" customHeight="1">
      <c r="B98" s="19">
        <f>IF(C98="","EMP-"&amp;TEXT(COUNTA($C$5:C98),"000"))</f>
        <v/>
      </c>
      <c r="C98" s="15" t="n"/>
      <c r="D98" s="15" t="n"/>
      <c r="E98" s="15" t="n"/>
      <c r="F98" s="15" t="n"/>
      <c r="G98" s="15" t="n"/>
      <c r="H98" s="28" t="n"/>
      <c r="I98" s="26" t="n"/>
      <c r="J98" s="15" t="n"/>
      <c r="K98" s="28" t="n"/>
      <c r="L98" s="15" t="n"/>
    </row>
    <row r="99" ht="22" customHeight="1">
      <c r="B99" s="18">
        <f>IF(C99="","EMP-"&amp;TEXT(COUNTA($C$5:C99),"000"))</f>
        <v/>
      </c>
      <c r="C99" s="12" t="n"/>
      <c r="D99" s="12" t="n"/>
      <c r="E99" s="12" t="n"/>
      <c r="F99" s="12" t="n"/>
      <c r="G99" s="12" t="n"/>
      <c r="H99" s="27" t="n"/>
      <c r="I99" s="24" t="n"/>
      <c r="J99" s="12" t="n"/>
      <c r="K99" s="27" t="n"/>
      <c r="L99" s="12" t="n"/>
    </row>
    <row r="100" ht="22" customHeight="1">
      <c r="B100" s="19">
        <f>IF(C100="","EMP-"&amp;TEXT(COUNTA($C$5:C100),"000"))</f>
        <v/>
      </c>
      <c r="C100" s="15" t="n"/>
      <c r="D100" s="15" t="n"/>
      <c r="E100" s="15" t="n"/>
      <c r="F100" s="15" t="n"/>
      <c r="G100" s="15" t="n"/>
      <c r="H100" s="28" t="n"/>
      <c r="I100" s="26" t="n"/>
      <c r="J100" s="15" t="n"/>
      <c r="K100" s="28" t="n"/>
      <c r="L100" s="15" t="n"/>
    </row>
    <row r="101" ht="22" customHeight="1">
      <c r="B101" s="18">
        <f>IF(C101="","EMP-"&amp;TEXT(COUNTA($C$5:C101),"000"))</f>
        <v/>
      </c>
      <c r="C101" s="12" t="n"/>
      <c r="D101" s="12" t="n"/>
      <c r="E101" s="12" t="n"/>
      <c r="F101" s="12" t="n"/>
      <c r="G101" s="12" t="n"/>
      <c r="H101" s="27" t="n"/>
      <c r="I101" s="24" t="n"/>
      <c r="J101" s="12" t="n"/>
      <c r="K101" s="27" t="n"/>
      <c r="L101" s="12" t="n"/>
    </row>
    <row r="102" ht="22" customHeight="1">
      <c r="B102" s="19">
        <f>IF(C102="","EMP-"&amp;TEXT(COUNTA($C$5:C102),"000"))</f>
        <v/>
      </c>
      <c r="C102" s="15" t="n"/>
      <c r="D102" s="15" t="n"/>
      <c r="E102" s="15" t="n"/>
      <c r="F102" s="15" t="n"/>
      <c r="G102" s="15" t="n"/>
      <c r="H102" s="28" t="n"/>
      <c r="I102" s="26" t="n"/>
      <c r="J102" s="15" t="n"/>
      <c r="K102" s="28" t="n"/>
      <c r="L102" s="15" t="n"/>
    </row>
    <row r="103" ht="22" customHeight="1">
      <c r="B103" s="18">
        <f>IF(C103="","EMP-"&amp;TEXT(COUNTA($C$5:C103),"000"))</f>
        <v/>
      </c>
      <c r="C103" s="12" t="n"/>
      <c r="D103" s="12" t="n"/>
      <c r="E103" s="12" t="n"/>
      <c r="F103" s="12" t="n"/>
      <c r="G103" s="12" t="n"/>
      <c r="H103" s="27" t="n"/>
      <c r="I103" s="24" t="n"/>
      <c r="J103" s="12" t="n"/>
      <c r="K103" s="27" t="n"/>
      <c r="L103" s="12" t="n"/>
    </row>
    <row r="104" ht="22" customHeight="1">
      <c r="B104" s="19">
        <f>IF(C104="","EMP-"&amp;TEXT(COUNTA($C$5:C104),"000"))</f>
        <v/>
      </c>
      <c r="C104" s="15" t="n"/>
      <c r="D104" s="15" t="n"/>
      <c r="E104" s="15" t="n"/>
      <c r="F104" s="15" t="n"/>
      <c r="G104" s="15" t="n"/>
      <c r="H104" s="28" t="n"/>
      <c r="I104" s="26" t="n"/>
      <c r="J104" s="15" t="n"/>
      <c r="K104" s="28" t="n"/>
      <c r="L104" s="15" t="n"/>
    </row>
    <row r="105" ht="22" customHeight="1">
      <c r="B105" s="18">
        <f>IF(C105="","EMP-"&amp;TEXT(COUNTA($C$5:C105),"000"))</f>
        <v/>
      </c>
      <c r="C105" s="12" t="n"/>
      <c r="D105" s="12" t="n"/>
      <c r="E105" s="12" t="n"/>
      <c r="F105" s="12" t="n"/>
      <c r="G105" s="12" t="n"/>
      <c r="H105" s="27" t="n"/>
      <c r="I105" s="24" t="n"/>
      <c r="J105" s="12" t="n"/>
      <c r="K105" s="27" t="n"/>
      <c r="L105" s="12" t="n"/>
    </row>
    <row r="106" ht="22" customHeight="1">
      <c r="B106" s="19">
        <f>IF(C106="","EMP-"&amp;TEXT(COUNTA($C$5:C106),"000"))</f>
        <v/>
      </c>
      <c r="C106" s="15" t="n"/>
      <c r="D106" s="15" t="n"/>
      <c r="E106" s="15" t="n"/>
      <c r="F106" s="15" t="n"/>
      <c r="G106" s="15" t="n"/>
      <c r="H106" s="28" t="n"/>
      <c r="I106" s="26" t="n"/>
      <c r="J106" s="15" t="n"/>
      <c r="K106" s="28" t="n"/>
      <c r="L106" s="15" t="n"/>
    </row>
    <row r="107" ht="22" customHeight="1">
      <c r="B107" s="18">
        <f>IF(C107="","EMP-"&amp;TEXT(COUNTA($C$5:C107),"000"))</f>
        <v/>
      </c>
      <c r="C107" s="12" t="n"/>
      <c r="D107" s="12" t="n"/>
      <c r="E107" s="12" t="n"/>
      <c r="F107" s="12" t="n"/>
      <c r="G107" s="12" t="n"/>
      <c r="H107" s="27" t="n"/>
      <c r="I107" s="24" t="n"/>
      <c r="J107" s="12" t="n"/>
      <c r="K107" s="27" t="n"/>
      <c r="L107" s="12" t="n"/>
    </row>
    <row r="109">
      <c r="B109" s="6" t="inlineStr">
        <is>
          <t>INDICATEURS (mis a jour automatiquement)</t>
        </is>
      </c>
    </row>
    <row r="110">
      <c r="B110" s="3" t="inlineStr">
        <is>
          <t>Pers. handicapees</t>
        </is>
      </c>
      <c r="D110" s="3" t="inlineStr">
        <is>
          <t>En poste</t>
        </is>
      </c>
    </row>
    <row r="111">
      <c r="B111" s="5">
        <f>COUNTIF(B5:B104,"&lt;&gt;")</f>
        <v/>
      </c>
      <c r="D111" s="5">
        <f>COUNTIF(L5:L104,"En poste")</f>
        <v/>
      </c>
    </row>
  </sheetData>
  <mergeCells count="3">
    <mergeCell ref="B2:L2"/>
    <mergeCell ref="B109:L109"/>
    <mergeCell ref="B3:L3"/>
  </mergeCells>
  <conditionalFormatting sqref="L5:L107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"Conforme"</formula>
    </cfRule>
    <cfRule type="cellIs" priority="15" operator="equal" dxfId="1">
      <formula>"En poste"</formula>
    </cfRule>
    <cfRule type="cellIs" priority="16" operator="equal" dxfId="1">
      <formula>"Objectif atteint"</formula>
    </cfRule>
    <cfRule type="cellIs" priority="17" operator="equal" dxfId="1">
      <formula>"Realise"</formula>
    </cfRule>
    <cfRule type="cellIs" priority="18" operator="equal" dxfId="1">
      <formula>"Realisee"</formula>
    </cfRule>
    <cfRule type="cellIs" priority="19" operator="equal" dxfId="1">
      <formula>"Formation en cours"</formula>
    </cfRule>
    <cfRule type="cellIs" priority="20" operator="equal" dxfId="2">
      <formula>"En attente"</formula>
    </cfRule>
    <cfRule type="cellIs" priority="21" operator="equal" dxfId="2">
      <formula>"A renouveler"</formula>
    </cfRule>
    <cfRule type="cellIs" priority="22" operator="equal" dxfId="2">
      <formula>"En cours"</formula>
    </cfRule>
    <cfRule type="cellIs" priority="23" operator="equal" dxfId="2">
      <formula>"En traitement"</formula>
    </cfRule>
    <cfRule type="cellIs" priority="24" operator="equal" dxfId="2">
      <formula>"En retard"</formula>
    </cfRule>
    <cfRule type="cellIs" priority="25" operator="equal" dxfId="2">
      <formula>"Suspendu"</formula>
    </cfRule>
    <cfRule type="cellIs" priority="26" operator="equal" dxfId="2">
      <formula>"Planifie"</formula>
    </cfRule>
    <cfRule type="cellIs" priority="27" operator="equal" dxfId="2">
      <formula>"Planifiee"</formula>
    </cfRule>
    <cfRule type="cellIs" priority="28" operator="equal" dxfId="2">
      <formula>"Brouillon"</formula>
    </cfRule>
    <cfRule type="cellIs" priority="29" operator="equal" dxfId="2">
      <formula>"En attente de donnees"</formula>
    </cfRule>
    <cfRule type="cellIs" priority="30" operator="equal" dxfId="2">
      <formula>"En cours d'amelioration"</formula>
    </cfRule>
    <cfRule type="cellIs" priority="31" operator="equal" dxfId="2">
      <formula>"En cours de recrutement"</formula>
    </cfRule>
    <cfRule type="cellIs" priority="32" operator="equal" dxfId="2">
      <formula>"Entretien realise"</formula>
    </cfRule>
    <cfRule type="cellIs" priority="33" operator="equal" dxfId="2">
      <formula>"Candidature en attente"</formula>
    </cfRule>
    <cfRule type="cellIs" priority="34" operator="equal" dxfId="2">
      <formula>"En attente validation"</formula>
    </cfRule>
    <cfRule type="cellIs" priority="35" operator="equal" dxfId="3">
      <formula>"Expire"</formula>
    </cfRule>
    <cfRule type="cellIs" priority="36" operator="equal" dxfId="3">
      <formula>"Rejete"</formula>
    </cfRule>
    <cfRule type="cellIs" priority="37" operator="equal" dxfId="3">
      <formula>"Rejetee"</formula>
    </cfRule>
    <cfRule type="cellIs" priority="38" operator="equal" dxfId="3">
      <formula>"Resilie"</formula>
    </cfRule>
    <cfRule type="cellIs" priority="39" operator="equal" dxfId="3">
      <formula>"Annule"</formula>
    </cfRule>
    <cfRule type="cellIs" priority="40" operator="equal" dxfId="3">
      <formula>"Annulee"</formula>
    </cfRule>
    <cfRule type="cellIs" priority="41" operator="equal" dxfId="3">
      <formula>"Refuse"</formula>
    </cfRule>
    <cfRule type="cellIs" priority="42" operator="equal" dxfId="3">
      <formula>"Non conforme"</formula>
    </cfRule>
    <cfRule type="cellIs" priority="43" operator="equal" dxfId="3">
      <formula>"Non retenu"</formula>
    </cfRule>
    <cfRule type="cellIs" priority="44" operator="equal" dxfId="3">
      <formula>"Non applicable"</formula>
    </cfRule>
  </conditionalFormatting>
  <conditionalFormatting sqref="B8:B107">
    <cfRule type="expression" priority="45" dxfId="0">
      <formula>AND($C8="",$C7&lt;&gt;"")</formula>
    </cfRule>
  </conditionalFormatting>
  <conditionalFormatting sqref="C8:C107">
    <cfRule type="expression" priority="46" dxfId="0">
      <formula>AND($C8="",$C7&lt;&gt;"")</formula>
    </cfRule>
  </conditionalFormatting>
  <conditionalFormatting sqref="D8:D107">
    <cfRule type="expression" priority="47" dxfId="0">
      <formula>AND($C8="",$C7&lt;&gt;"")</formula>
    </cfRule>
  </conditionalFormatting>
  <conditionalFormatting sqref="E8:E107">
    <cfRule type="expression" priority="48" dxfId="0">
      <formula>AND($C8="",$C7&lt;&gt;"")</formula>
    </cfRule>
  </conditionalFormatting>
  <conditionalFormatting sqref="F8:F107">
    <cfRule type="expression" priority="49" dxfId="0">
      <formula>AND($C8="",$C7&lt;&gt;"")</formula>
    </cfRule>
  </conditionalFormatting>
  <conditionalFormatting sqref="G8:G107">
    <cfRule type="expression" priority="50" dxfId="0">
      <formula>AND($C8="",$C7&lt;&gt;"")</formula>
    </cfRule>
  </conditionalFormatting>
  <conditionalFormatting sqref="H8:H107">
    <cfRule type="expression" priority="51" dxfId="0">
      <formula>AND($C8="",$C7&lt;&gt;"")</formula>
    </cfRule>
  </conditionalFormatting>
  <conditionalFormatting sqref="I8:I107">
    <cfRule type="expression" priority="52" dxfId="0">
      <formula>AND($C8="",$C7&lt;&gt;"")</formula>
    </cfRule>
  </conditionalFormatting>
  <conditionalFormatting sqref="J8:J107">
    <cfRule type="expression" priority="53" dxfId="0">
      <formula>AND($C8="",$C7&lt;&gt;"")</formula>
    </cfRule>
  </conditionalFormatting>
  <conditionalFormatting sqref="K8:K107">
    <cfRule type="expression" priority="54" dxfId="0">
      <formula>AND($C8="",$C7&lt;&gt;"")</formula>
    </cfRule>
  </conditionalFormatting>
  <conditionalFormatting sqref="L8:L107">
    <cfRule type="expression" priority="55" dxfId="0">
      <formula>AND($C8="",$C7&lt;&gt;"")</formula>
    </cfRule>
  </conditionalFormatting>
  <dataValidations count="5">
    <dataValidation sqref="D5:D107" showDropDown="0" showInputMessage="0" showErrorMessage="0" allowBlank="1" errorTitle="Erreur" error="Valeur invalide" promptTitle="Liste" prompt="Choisir dans la liste" type="list">
      <formula1>'_Lists'!$D$2:$D$25</formula1>
    </dataValidation>
    <dataValidation sqref="E5:E107" showDropDown="0" showInputMessage="0" showErrorMessage="0" allowBlank="1" errorTitle="Erreur" error="Valeur invalide" promptTitle="Liste" prompt="Choisir dans la liste" type="list">
      <formula1>'_Lists'!$C$2:$C$14</formula1>
    </dataValidation>
    <dataValidation sqref="F5:F107" showDropDown="0" showInputMessage="0" showErrorMessage="0" allowBlank="1" errorTitle="Erreur" error="Valeur invalide" promptTitle="Liste" prompt="Choisir dans la liste" type="list">
      <formula1>'_Lists'!$G$2:$G$7</formula1>
    </dataValidation>
    <dataValidation sqref="G5:G107" showDropDown="0" showInputMessage="0" showErrorMessage="0" allowBlank="1" errorTitle="Erreur" error="Valeur invalide" promptTitle="Liste" prompt="Choisir dans la liste" type="list">
      <formula1>'_Lists'!$H$2:$H$6</formula1>
    </dataValidation>
    <dataValidation sqref="L5:L107" showDropDown="0" showInputMessage="0" showErrorMessage="0" allowBlank="1" errorTitle="Erreur" error="Valeur invalide" promptTitle="Liste" prompt="Choisir dans la liste" type="list">
      <formula1>'_Lists'!$I$2:$I$7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8" customWidth="1" min="4" max="4"/>
    <col width="10" customWidth="1" min="5" max="5"/>
    <col width="12" customWidth="1" min="6" max="6"/>
    <col width="10" customWidth="1" min="7" max="7"/>
    <col width="12" customWidth="1" min="8" max="8"/>
    <col width="36" customWidth="1" min="9" max="9"/>
  </cols>
  <sheetData>
    <row r="1" ht="15" customHeight="1"/>
    <row r="2" ht="32" customHeight="1">
      <c r="B2" s="1" t="inlineStr">
        <is>
          <t>SUIVI DE LA DIVERSITE (Age, Origine, Nationalite) (#157)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Criteres Diversite</t>
        </is>
      </c>
      <c r="D4" s="11" t="inlineStr">
        <is>
          <t>Categorie</t>
        </is>
      </c>
      <c r="E4" s="11" t="inlineStr">
        <is>
          <t>Effectif</t>
        </is>
      </c>
      <c r="F4" s="11" t="inlineStr">
        <is>
          <t>% Total</t>
        </is>
      </c>
      <c r="G4" s="11" t="inlineStr">
        <is>
          <t>Cadres</t>
        </is>
      </c>
      <c r="H4" s="11" t="inlineStr">
        <is>
          <t>% Cadres</t>
        </is>
      </c>
      <c r="I4" s="11" t="inlineStr">
        <is>
          <t>Observations</t>
        </is>
      </c>
    </row>
    <row r="5" ht="22" customHeight="1">
      <c r="B5" s="12" t="inlineStr">
        <is>
          <t>DIV-001</t>
        </is>
      </c>
      <c r="C5" s="12" t="inlineStr">
        <is>
          <t>Age</t>
        </is>
      </c>
      <c r="D5" s="12" t="inlineStr">
        <is>
          <t>18-25 ans</t>
        </is>
      </c>
      <c r="E5" s="13" t="n">
        <v>18</v>
      </c>
      <c r="F5" s="14" t="n"/>
      <c r="G5" s="13" t="n">
        <v>1</v>
      </c>
      <c r="H5" s="14" t="n"/>
      <c r="I5" s="12" t="inlineStr">
        <is>
          <t>Majorite stagiaires et nouveaux</t>
        </is>
      </c>
    </row>
    <row r="6" ht="22" customHeight="1">
      <c r="B6" s="15" t="inlineStr">
        <is>
          <t>DIV-002</t>
        </is>
      </c>
      <c r="C6" s="15" t="inlineStr">
        <is>
          <t>Age</t>
        </is>
      </c>
      <c r="D6" s="15" t="inlineStr">
        <is>
          <t>26-35 ans</t>
        </is>
      </c>
      <c r="E6" s="16" t="n">
        <v>40</v>
      </c>
      <c r="F6" s="17" t="n"/>
      <c r="G6" s="16" t="n">
        <v>8</v>
      </c>
      <c r="H6" s="17" t="n"/>
      <c r="I6" s="15" t="inlineStr">
        <is>
          <t>Noyau dur de l'effectif</t>
        </is>
      </c>
    </row>
    <row r="7" ht="22" customHeight="1">
      <c r="B7" s="12" t="inlineStr">
        <is>
          <t>DIV-003</t>
        </is>
      </c>
      <c r="C7" s="12" t="inlineStr">
        <is>
          <t>Age</t>
        </is>
      </c>
      <c r="D7" s="12" t="inlineStr">
        <is>
          <t>36-45 ans</t>
        </is>
      </c>
      <c r="E7" s="13" t="n">
        <v>18</v>
      </c>
      <c r="F7" s="14" t="n"/>
      <c r="G7" s="13" t="n">
        <v>5</v>
      </c>
      <c r="H7" s="14" t="n"/>
      <c r="I7" s="12" t="inlineStr">
        <is>
          <t>Equilibre correct</t>
        </is>
      </c>
    </row>
    <row r="8" ht="22" customHeight="1">
      <c r="B8" s="15" t="inlineStr">
        <is>
          <t>DIV-004</t>
        </is>
      </c>
      <c r="C8" s="15" t="inlineStr">
        <is>
          <t>Age</t>
        </is>
      </c>
      <c r="D8" s="15" t="inlineStr">
        <is>
          <t>46-55 ans</t>
        </is>
      </c>
      <c r="E8" s="16" t="n">
        <v>8</v>
      </c>
      <c r="F8" s="17" t="n"/>
      <c r="G8" s="16" t="n">
        <v>2</v>
      </c>
      <c r="H8" s="17" t="n"/>
      <c r="I8" s="15" t="inlineStr">
        <is>
          <t>Experience valorisee</t>
        </is>
      </c>
    </row>
    <row r="9" ht="22" customHeight="1">
      <c r="B9" s="12" t="inlineStr">
        <is>
          <t>DIV-005</t>
        </is>
      </c>
      <c r="C9" s="12" t="inlineStr">
        <is>
          <t>Age</t>
        </is>
      </c>
      <c r="D9" s="12" t="inlineStr">
        <is>
          <t>56 ans et +</t>
        </is>
      </c>
      <c r="E9" s="13" t="n">
        <v>5</v>
      </c>
      <c r="F9" s="14" t="n"/>
      <c r="G9" s="13" t="n">
        <v>1</v>
      </c>
      <c r="H9" s="14" t="n"/>
      <c r="I9" s="12" t="inlineStr">
        <is>
          <t>Seniors a valoriser</t>
        </is>
      </c>
    </row>
    <row r="10" ht="22" customHeight="1">
      <c r="B10" s="15" t="inlineStr">
        <is>
          <t>DIV-006</t>
        </is>
      </c>
      <c r="C10" s="15" t="inlineStr">
        <is>
          <t>Origine</t>
        </is>
      </c>
      <c r="D10" s="15" t="inlineStr">
        <is>
          <t>Centre</t>
        </is>
      </c>
      <c r="E10" s="16" t="n">
        <v>20</v>
      </c>
      <c r="F10" s="17" t="n"/>
      <c r="G10" s="16" t="n">
        <v>5</v>
      </c>
      <c r="H10" s="17" t="n"/>
      <c r="I10" s="15" t="inlineStr">
        <is>
          <t>Region majoritaire</t>
        </is>
      </c>
    </row>
    <row r="11" ht="22" customHeight="1">
      <c r="B11" s="12" t="inlineStr">
        <is>
          <t>DIV-007</t>
        </is>
      </c>
      <c r="C11" s="12" t="inlineStr">
        <is>
          <t>Origine</t>
        </is>
      </c>
      <c r="D11" s="12" t="inlineStr">
        <is>
          <t>Littoral</t>
        </is>
      </c>
      <c r="E11" s="13" t="n">
        <v>30</v>
      </c>
      <c r="F11" s="14" t="n"/>
      <c r="G11" s="13" t="n">
        <v>7</v>
      </c>
      <c r="H11" s="14" t="n"/>
      <c r="I11" s="12" t="inlineStr">
        <is>
          <t>Douala et environs</t>
        </is>
      </c>
    </row>
    <row r="12" ht="22" customHeight="1">
      <c r="B12" s="15" t="inlineStr">
        <is>
          <t>DIV-008</t>
        </is>
      </c>
      <c r="C12" s="15" t="inlineStr">
        <is>
          <t>Origine</t>
        </is>
      </c>
      <c r="D12" s="15" t="inlineStr">
        <is>
          <t>Ouest</t>
        </is>
      </c>
      <c r="E12" s="16" t="n">
        <v>15</v>
      </c>
      <c r="F12" s="17" t="n"/>
      <c r="G12" s="16" t="n">
        <v>3</v>
      </c>
      <c r="H12" s="17" t="n"/>
      <c r="I12" s="15" t="inlineStr">
        <is>
          <t>Bamileke representes</t>
        </is>
      </c>
    </row>
    <row r="13" ht="22" customHeight="1">
      <c r="B13" s="12" t="inlineStr">
        <is>
          <t>DIV-009</t>
        </is>
      </c>
      <c r="C13" s="12" t="inlineStr">
        <is>
          <t>Origine</t>
        </is>
      </c>
      <c r="D13" s="12" t="inlineStr">
        <is>
          <t>Nord-Ouest</t>
        </is>
      </c>
      <c r="E13" s="13" t="n">
        <v>10</v>
      </c>
      <c r="F13" s="14" t="n"/>
      <c r="G13" s="13" t="n">
        <v>1</v>
      </c>
      <c r="H13" s="14" t="n"/>
      <c r="I13" s="12" t="inlineStr">
        <is>
          <t>Sous-representation cadres</t>
        </is>
      </c>
    </row>
    <row r="14" ht="22" customHeight="1">
      <c r="B14" s="15" t="inlineStr">
        <is>
          <t>DIV-010</t>
        </is>
      </c>
      <c r="C14" s="15" t="inlineStr">
        <is>
          <t>Origine</t>
        </is>
      </c>
      <c r="D14" s="15" t="inlineStr">
        <is>
          <t>Autres regions</t>
        </is>
      </c>
      <c r="E14" s="16" t="n">
        <v>14</v>
      </c>
      <c r="F14" s="17" t="n"/>
      <c r="G14" s="16" t="n">
        <v>1</v>
      </c>
      <c r="H14" s="17" t="n"/>
      <c r="I14" s="15" t="inlineStr">
        <is>
          <t>Diversite acceptable</t>
        </is>
      </c>
    </row>
    <row r="15" ht="22" customHeight="1">
      <c r="B15" s="12" t="inlineStr">
        <is>
          <t>DIV-011</t>
        </is>
      </c>
      <c r="C15" s="12" t="inlineStr">
        <is>
          <t>Nationalite</t>
        </is>
      </c>
      <c r="D15" s="12" t="inlineStr">
        <is>
          <t>Camerounaise</t>
        </is>
      </c>
      <c r="E15" s="13" t="n">
        <v>85</v>
      </c>
      <c r="F15" s="14" t="n"/>
      <c r="G15" s="13" t="n">
        <v>17</v>
      </c>
      <c r="H15" s="14" t="n"/>
      <c r="I15" s="12" t="inlineStr">
        <is>
          <t>Majorite ecrasante</t>
        </is>
      </c>
    </row>
    <row r="16" ht="22" customHeight="1">
      <c r="B16" s="15" t="inlineStr">
        <is>
          <t>DIV-012</t>
        </is>
      </c>
      <c r="C16" s="15" t="inlineStr">
        <is>
          <t>Nationalite</t>
        </is>
      </c>
      <c r="D16" s="15" t="inlineStr">
        <is>
          <t>Etrangere</t>
        </is>
      </c>
      <c r="E16" s="16" t="n">
        <v>4</v>
      </c>
      <c r="F16" s="17" t="n"/>
      <c r="G16" s="16" t="n">
        <v>0</v>
      </c>
      <c r="H16" s="17" t="n"/>
      <c r="I16" s="15" t="inlineStr">
        <is>
          <t>Manque cadres etrangers</t>
        </is>
      </c>
    </row>
    <row r="17" ht="22" customHeight="1">
      <c r="B17" s="18">
        <f>IF(C17="","DIV-"&amp;TEXT(COUNTA($C$5:C17),"000"))</f>
        <v/>
      </c>
      <c r="C17" s="12" t="n"/>
      <c r="D17" s="12" t="n"/>
      <c r="E17" s="13" t="n"/>
      <c r="F17" s="14">
        <f>IF(E17="","",IF(SUM(E5:E104)=0,"",E17/SUM(E5:E104)))</f>
        <v/>
      </c>
      <c r="G17" s="13" t="n"/>
      <c r="H17" s="14">
        <f>IF(OR(G17="",G17=0),"",G17/SUM(G5:G104))</f>
        <v/>
      </c>
      <c r="I17" s="12" t="n"/>
    </row>
    <row r="18" ht="22" customHeight="1">
      <c r="B18" s="19">
        <f>IF(C18="","DIV-"&amp;TEXT(COUNTA($C$5:C18),"000"))</f>
        <v/>
      </c>
      <c r="C18" s="15" t="n"/>
      <c r="D18" s="15" t="n"/>
      <c r="E18" s="16" t="n"/>
      <c r="F18" s="17">
        <f>IF(E18="","",IF(SUM(E5:E104)=0,"",E18/SUM(E5:E104)))</f>
        <v/>
      </c>
      <c r="G18" s="16" t="n"/>
      <c r="H18" s="17">
        <f>IF(OR(G18="",G18=0),"",G18/SUM(G5:G104))</f>
        <v/>
      </c>
      <c r="I18" s="15" t="n"/>
    </row>
    <row r="19" ht="22" customHeight="1">
      <c r="B19" s="18">
        <f>IF(C19="","DIV-"&amp;TEXT(COUNTA($C$5:C19),"000"))</f>
        <v/>
      </c>
      <c r="C19" s="12" t="n"/>
      <c r="D19" s="12" t="n"/>
      <c r="E19" s="13" t="n"/>
      <c r="F19" s="14">
        <f>IF(E19="","",IF(SUM(E5:E104)=0,"",E19/SUM(E5:E104)))</f>
        <v/>
      </c>
      <c r="G19" s="13" t="n"/>
      <c r="H19" s="14">
        <f>IF(OR(G19="",G19=0),"",G19/SUM(G5:G104))</f>
        <v/>
      </c>
      <c r="I19" s="12" t="n"/>
    </row>
    <row r="20" ht="22" customHeight="1">
      <c r="B20" s="19">
        <f>IF(C20="","DIV-"&amp;TEXT(COUNTA($C$5:C20),"000"))</f>
        <v/>
      </c>
      <c r="C20" s="15" t="n"/>
      <c r="D20" s="15" t="n"/>
      <c r="E20" s="16" t="n"/>
      <c r="F20" s="17">
        <f>IF(E20="","",IF(SUM(E5:E104)=0,"",E20/SUM(E5:E104)))</f>
        <v/>
      </c>
      <c r="G20" s="16" t="n"/>
      <c r="H20" s="17">
        <f>IF(OR(G20="",G20=0),"",G20/SUM(G5:G104))</f>
        <v/>
      </c>
      <c r="I20" s="15" t="n"/>
    </row>
    <row r="21" ht="22" customHeight="1">
      <c r="B21" s="18">
        <f>IF(C21="","DIV-"&amp;TEXT(COUNTA($C$5:C21),"000"))</f>
        <v/>
      </c>
      <c r="C21" s="12" t="n"/>
      <c r="D21" s="12" t="n"/>
      <c r="E21" s="13" t="n"/>
      <c r="F21" s="14">
        <f>IF(E21="","",IF(SUM(E5:E104)=0,"",E21/SUM(E5:E104)))</f>
        <v/>
      </c>
      <c r="G21" s="13" t="n"/>
      <c r="H21" s="14">
        <f>IF(OR(G21="",G21=0),"",G21/SUM(G5:G104))</f>
        <v/>
      </c>
      <c r="I21" s="12" t="n"/>
    </row>
    <row r="22" ht="22" customHeight="1">
      <c r="B22" s="19">
        <f>IF(C22="","DIV-"&amp;TEXT(COUNTA($C$5:C22),"000"))</f>
        <v/>
      </c>
      <c r="C22" s="15" t="n"/>
      <c r="D22" s="15" t="n"/>
      <c r="E22" s="16" t="n"/>
      <c r="F22" s="17">
        <f>IF(E22="","",IF(SUM(E5:E104)=0,"",E22/SUM(E5:E104)))</f>
        <v/>
      </c>
      <c r="G22" s="16" t="n"/>
      <c r="H22" s="17">
        <f>IF(OR(G22="",G22=0),"",G22/SUM(G5:G104))</f>
        <v/>
      </c>
      <c r="I22" s="15" t="n"/>
    </row>
    <row r="23" ht="22" customHeight="1">
      <c r="B23" s="18">
        <f>IF(C23="","DIV-"&amp;TEXT(COUNTA($C$5:C23),"000"))</f>
        <v/>
      </c>
      <c r="C23" s="12" t="n"/>
      <c r="D23" s="12" t="n"/>
      <c r="E23" s="13" t="n"/>
      <c r="F23" s="14">
        <f>IF(E23="","",IF(SUM(E5:E104)=0,"",E23/SUM(E5:E104)))</f>
        <v/>
      </c>
      <c r="G23" s="13" t="n"/>
      <c r="H23" s="14">
        <f>IF(OR(G23="",G23=0),"",G23/SUM(G5:G104))</f>
        <v/>
      </c>
      <c r="I23" s="12" t="n"/>
    </row>
    <row r="24" ht="22" customHeight="1">
      <c r="B24" s="19">
        <f>IF(C24="","DIV-"&amp;TEXT(COUNTA($C$5:C24),"000"))</f>
        <v/>
      </c>
      <c r="C24" s="15" t="n"/>
      <c r="D24" s="15" t="n"/>
      <c r="E24" s="16" t="n"/>
      <c r="F24" s="17">
        <f>IF(E24="","",IF(SUM(E5:E104)=0,"",E24/SUM(E5:E104)))</f>
        <v/>
      </c>
      <c r="G24" s="16" t="n"/>
      <c r="H24" s="17">
        <f>IF(OR(G24="",G24=0),"",G24/SUM(G5:G104))</f>
        <v/>
      </c>
      <c r="I24" s="15" t="n"/>
    </row>
    <row r="25" ht="22" customHeight="1">
      <c r="B25" s="18">
        <f>IF(C25="","DIV-"&amp;TEXT(COUNTA($C$5:C25),"000"))</f>
        <v/>
      </c>
      <c r="C25" s="12" t="n"/>
      <c r="D25" s="12" t="n"/>
      <c r="E25" s="13" t="n"/>
      <c r="F25" s="14">
        <f>IF(E25="","",IF(SUM(E5:E104)=0,"",E25/SUM(E5:E104)))</f>
        <v/>
      </c>
      <c r="G25" s="13" t="n"/>
      <c r="H25" s="14">
        <f>IF(OR(G25="",G25=0),"",G25/SUM(G5:G104))</f>
        <v/>
      </c>
      <c r="I25" s="12" t="n"/>
    </row>
    <row r="26" ht="22" customHeight="1">
      <c r="B26" s="19">
        <f>IF(C26="","DIV-"&amp;TEXT(COUNTA($C$5:C26),"000"))</f>
        <v/>
      </c>
      <c r="C26" s="15" t="n"/>
      <c r="D26" s="15" t="n"/>
      <c r="E26" s="16" t="n"/>
      <c r="F26" s="17">
        <f>IF(E26="","",IF(SUM(E5:E104)=0,"",E26/SUM(E5:E104)))</f>
        <v/>
      </c>
      <c r="G26" s="16" t="n"/>
      <c r="H26" s="17">
        <f>IF(OR(G26="",G26=0),"",G26/SUM(G5:G104))</f>
        <v/>
      </c>
      <c r="I26" s="15" t="n"/>
    </row>
    <row r="27" ht="22" customHeight="1">
      <c r="B27" s="18">
        <f>IF(C27="","DIV-"&amp;TEXT(COUNTA($C$5:C27),"000"))</f>
        <v/>
      </c>
      <c r="C27" s="12" t="n"/>
      <c r="D27" s="12" t="n"/>
      <c r="E27" s="13" t="n"/>
      <c r="F27" s="14">
        <f>IF(E27="","",IF(SUM(E5:E104)=0,"",E27/SUM(E5:E104)))</f>
        <v/>
      </c>
      <c r="G27" s="13" t="n"/>
      <c r="H27" s="14">
        <f>IF(OR(G27="",G27=0),"",G27/SUM(G5:G104))</f>
        <v/>
      </c>
      <c r="I27" s="12" t="n"/>
    </row>
    <row r="28" ht="22" customHeight="1">
      <c r="B28" s="19">
        <f>IF(C28="","DIV-"&amp;TEXT(COUNTA($C$5:C28),"000"))</f>
        <v/>
      </c>
      <c r="C28" s="15" t="n"/>
      <c r="D28" s="15" t="n"/>
      <c r="E28" s="16" t="n"/>
      <c r="F28" s="17">
        <f>IF(E28="","",IF(SUM(E5:E104)=0,"",E28/SUM(E5:E104)))</f>
        <v/>
      </c>
      <c r="G28" s="16" t="n"/>
      <c r="H28" s="17">
        <f>IF(OR(G28="",G28=0),"",G28/SUM(G5:G104))</f>
        <v/>
      </c>
      <c r="I28" s="15" t="n"/>
    </row>
    <row r="29" ht="22" customHeight="1">
      <c r="B29" s="18">
        <f>IF(C29="","DIV-"&amp;TEXT(COUNTA($C$5:C29),"000"))</f>
        <v/>
      </c>
      <c r="C29" s="12" t="n"/>
      <c r="D29" s="12" t="n"/>
      <c r="E29" s="13" t="n"/>
      <c r="F29" s="14">
        <f>IF(E29="","",IF(SUM(E5:E104)=0,"",E29/SUM(E5:E104)))</f>
        <v/>
      </c>
      <c r="G29" s="13" t="n"/>
      <c r="H29" s="14">
        <f>IF(OR(G29="",G29=0),"",G29/SUM(G5:G104))</f>
        <v/>
      </c>
      <c r="I29" s="12" t="n"/>
    </row>
    <row r="30" ht="22" customHeight="1">
      <c r="B30" s="19">
        <f>IF(C30="","DIV-"&amp;TEXT(COUNTA($C$5:C30),"000"))</f>
        <v/>
      </c>
      <c r="C30" s="15" t="n"/>
      <c r="D30" s="15" t="n"/>
      <c r="E30" s="16" t="n"/>
      <c r="F30" s="17">
        <f>IF(E30="","",IF(SUM(E5:E104)=0,"",E30/SUM(E5:E104)))</f>
        <v/>
      </c>
      <c r="G30" s="16" t="n"/>
      <c r="H30" s="17">
        <f>IF(OR(G30="",G30=0),"",G30/SUM(G5:G104))</f>
        <v/>
      </c>
      <c r="I30" s="15" t="n"/>
    </row>
    <row r="31" ht="22" customHeight="1">
      <c r="B31" s="18">
        <f>IF(C31="","DIV-"&amp;TEXT(COUNTA($C$5:C31),"000"))</f>
        <v/>
      </c>
      <c r="C31" s="12" t="n"/>
      <c r="D31" s="12" t="n"/>
      <c r="E31" s="13" t="n"/>
      <c r="F31" s="14">
        <f>IF(E31="","",IF(SUM(E5:E104)=0,"",E31/SUM(E5:E104)))</f>
        <v/>
      </c>
      <c r="G31" s="13" t="n"/>
      <c r="H31" s="14">
        <f>IF(OR(G31="",G31=0),"",G31/SUM(G5:G104))</f>
        <v/>
      </c>
      <c r="I31" s="12" t="n"/>
    </row>
    <row r="32" ht="22" customHeight="1">
      <c r="B32" s="19">
        <f>IF(C32="","DIV-"&amp;TEXT(COUNTA($C$5:C32),"000"))</f>
        <v/>
      </c>
      <c r="C32" s="15" t="n"/>
      <c r="D32" s="15" t="n"/>
      <c r="E32" s="16" t="n"/>
      <c r="F32" s="17">
        <f>IF(E32="","",IF(SUM(E5:E104)=0,"",E32/SUM(E5:E104)))</f>
        <v/>
      </c>
      <c r="G32" s="16" t="n"/>
      <c r="H32" s="17">
        <f>IF(OR(G32="",G32=0),"",G32/SUM(G5:G104))</f>
        <v/>
      </c>
      <c r="I32" s="15" t="n"/>
    </row>
    <row r="33" ht="22" customHeight="1">
      <c r="B33" s="18">
        <f>IF(C33="","DIV-"&amp;TEXT(COUNTA($C$5:C33),"000"))</f>
        <v/>
      </c>
      <c r="C33" s="12" t="n"/>
      <c r="D33" s="12" t="n"/>
      <c r="E33" s="13" t="n"/>
      <c r="F33" s="14">
        <f>IF(E33="","",IF(SUM(E5:E104)=0,"",E33/SUM(E5:E104)))</f>
        <v/>
      </c>
      <c r="G33" s="13" t="n"/>
      <c r="H33" s="14">
        <f>IF(OR(G33="",G33=0),"",G33/SUM(G5:G104))</f>
        <v/>
      </c>
      <c r="I33" s="12" t="n"/>
    </row>
    <row r="34" ht="22" customHeight="1">
      <c r="B34" s="19">
        <f>IF(C34="","DIV-"&amp;TEXT(COUNTA($C$5:C34),"000"))</f>
        <v/>
      </c>
      <c r="C34" s="15" t="n"/>
      <c r="D34" s="15" t="n"/>
      <c r="E34" s="16" t="n"/>
      <c r="F34" s="17">
        <f>IF(E34="","",IF(SUM(E5:E104)=0,"",E34/SUM(E5:E104)))</f>
        <v/>
      </c>
      <c r="G34" s="16" t="n"/>
      <c r="H34" s="17">
        <f>IF(OR(G34="",G34=0),"",G34/SUM(G5:G104))</f>
        <v/>
      </c>
      <c r="I34" s="15" t="n"/>
    </row>
    <row r="35" ht="22" customHeight="1">
      <c r="B35" s="18">
        <f>IF(C35="","DIV-"&amp;TEXT(COUNTA($C$5:C35),"000"))</f>
        <v/>
      </c>
      <c r="C35" s="12" t="n"/>
      <c r="D35" s="12" t="n"/>
      <c r="E35" s="13" t="n"/>
      <c r="F35" s="14">
        <f>IF(E35="","",IF(SUM(E5:E104)=0,"",E35/SUM(E5:E104)))</f>
        <v/>
      </c>
      <c r="G35" s="13" t="n"/>
      <c r="H35" s="14">
        <f>IF(OR(G35="",G35=0),"",G35/SUM(G5:G104))</f>
        <v/>
      </c>
      <c r="I35" s="12" t="n"/>
    </row>
    <row r="36" ht="22" customHeight="1">
      <c r="B36" s="19">
        <f>IF(C36="","DIV-"&amp;TEXT(COUNTA($C$5:C36),"000"))</f>
        <v/>
      </c>
      <c r="C36" s="15" t="n"/>
      <c r="D36" s="15" t="n"/>
      <c r="E36" s="16" t="n"/>
      <c r="F36" s="17">
        <f>IF(E36="","",IF(SUM(E5:E104)=0,"",E36/SUM(E5:E104)))</f>
        <v/>
      </c>
      <c r="G36" s="16" t="n"/>
      <c r="H36" s="17">
        <f>IF(OR(G36="",G36=0),"",G36/SUM(G5:G104))</f>
        <v/>
      </c>
      <c r="I36" s="15" t="n"/>
    </row>
    <row r="37" ht="22" customHeight="1">
      <c r="B37" s="18">
        <f>IF(C37="","DIV-"&amp;TEXT(COUNTA($C$5:C37),"000"))</f>
        <v/>
      </c>
      <c r="C37" s="12" t="n"/>
      <c r="D37" s="12" t="n"/>
      <c r="E37" s="13" t="n"/>
      <c r="F37" s="14">
        <f>IF(E37="","",IF(SUM(E5:E104)=0,"",E37/SUM(E5:E104)))</f>
        <v/>
      </c>
      <c r="G37" s="13" t="n"/>
      <c r="H37" s="14">
        <f>IF(OR(G37="",G37=0),"",G37/SUM(G5:G104))</f>
        <v/>
      </c>
      <c r="I37" s="12" t="n"/>
    </row>
    <row r="38" ht="22" customHeight="1">
      <c r="B38" s="19">
        <f>IF(C38="","DIV-"&amp;TEXT(COUNTA($C$5:C38),"000"))</f>
        <v/>
      </c>
      <c r="C38" s="15" t="n"/>
      <c r="D38" s="15" t="n"/>
      <c r="E38" s="16" t="n"/>
      <c r="F38" s="17">
        <f>IF(E38="","",IF(SUM(E5:E104)=0,"",E38/SUM(E5:E104)))</f>
        <v/>
      </c>
      <c r="G38" s="16" t="n"/>
      <c r="H38" s="17">
        <f>IF(OR(G38="",G38=0),"",G38/SUM(G5:G104))</f>
        <v/>
      </c>
      <c r="I38" s="15" t="n"/>
    </row>
    <row r="39" ht="22" customHeight="1">
      <c r="B39" s="18">
        <f>IF(C39="","DIV-"&amp;TEXT(COUNTA($C$5:C39),"000"))</f>
        <v/>
      </c>
      <c r="C39" s="12" t="n"/>
      <c r="D39" s="12" t="n"/>
      <c r="E39" s="13" t="n"/>
      <c r="F39" s="14">
        <f>IF(E39="","",IF(SUM(E5:E104)=0,"",E39/SUM(E5:E104)))</f>
        <v/>
      </c>
      <c r="G39" s="13" t="n"/>
      <c r="H39" s="14">
        <f>IF(OR(G39="",G39=0),"",G39/SUM(G5:G104))</f>
        <v/>
      </c>
      <c r="I39" s="12" t="n"/>
    </row>
    <row r="40" ht="22" customHeight="1">
      <c r="B40" s="19">
        <f>IF(C40="","DIV-"&amp;TEXT(COUNTA($C$5:C40),"000"))</f>
        <v/>
      </c>
      <c r="C40" s="15" t="n"/>
      <c r="D40" s="15" t="n"/>
      <c r="E40" s="16" t="n"/>
      <c r="F40" s="17">
        <f>IF(E40="","",IF(SUM(E5:E104)=0,"",E40/SUM(E5:E104)))</f>
        <v/>
      </c>
      <c r="G40" s="16" t="n"/>
      <c r="H40" s="17">
        <f>IF(OR(G40="",G40=0),"",G40/SUM(G5:G104))</f>
        <v/>
      </c>
      <c r="I40" s="15" t="n"/>
    </row>
    <row r="41" ht="22" customHeight="1">
      <c r="B41" s="18">
        <f>IF(C41="","DIV-"&amp;TEXT(COUNTA($C$5:C41),"000"))</f>
        <v/>
      </c>
      <c r="C41" s="12" t="n"/>
      <c r="D41" s="12" t="n"/>
      <c r="E41" s="13" t="n"/>
      <c r="F41" s="14">
        <f>IF(E41="","",IF(SUM(E5:E104)=0,"",E41/SUM(E5:E104)))</f>
        <v/>
      </c>
      <c r="G41" s="13" t="n"/>
      <c r="H41" s="14">
        <f>IF(OR(G41="",G41=0),"",G41/SUM(G5:G104))</f>
        <v/>
      </c>
      <c r="I41" s="12" t="n"/>
    </row>
    <row r="42" ht="22" customHeight="1">
      <c r="B42" s="19">
        <f>IF(C42="","DIV-"&amp;TEXT(COUNTA($C$5:C42),"000"))</f>
        <v/>
      </c>
      <c r="C42" s="15" t="n"/>
      <c r="D42" s="15" t="n"/>
      <c r="E42" s="16" t="n"/>
      <c r="F42" s="17">
        <f>IF(E42="","",IF(SUM(E5:E104)=0,"",E42/SUM(E5:E104)))</f>
        <v/>
      </c>
      <c r="G42" s="16" t="n"/>
      <c r="H42" s="17">
        <f>IF(OR(G42="",G42=0),"",G42/SUM(G5:G104))</f>
        <v/>
      </c>
      <c r="I42" s="15" t="n"/>
    </row>
    <row r="43" ht="22" customHeight="1">
      <c r="B43" s="18">
        <f>IF(C43="","DIV-"&amp;TEXT(COUNTA($C$5:C43),"000"))</f>
        <v/>
      </c>
      <c r="C43" s="12" t="n"/>
      <c r="D43" s="12" t="n"/>
      <c r="E43" s="13" t="n"/>
      <c r="F43" s="14">
        <f>IF(E43="","",IF(SUM(E5:E104)=0,"",E43/SUM(E5:E104)))</f>
        <v/>
      </c>
      <c r="G43" s="13" t="n"/>
      <c r="H43" s="14">
        <f>IF(OR(G43="",G43=0),"",G43/SUM(G5:G104))</f>
        <v/>
      </c>
      <c r="I43" s="12" t="n"/>
    </row>
    <row r="44" ht="22" customHeight="1">
      <c r="B44" s="19">
        <f>IF(C44="","DIV-"&amp;TEXT(COUNTA($C$5:C44),"000"))</f>
        <v/>
      </c>
      <c r="C44" s="15" t="n"/>
      <c r="D44" s="15" t="n"/>
      <c r="E44" s="16" t="n"/>
      <c r="F44" s="17">
        <f>IF(E44="","",IF(SUM(E5:E104)=0,"",E44/SUM(E5:E104)))</f>
        <v/>
      </c>
      <c r="G44" s="16" t="n"/>
      <c r="H44" s="17">
        <f>IF(OR(G44="",G44=0),"",G44/SUM(G5:G104))</f>
        <v/>
      </c>
      <c r="I44" s="15" t="n"/>
    </row>
    <row r="45" ht="22" customHeight="1">
      <c r="B45" s="18">
        <f>IF(C45="","DIV-"&amp;TEXT(COUNTA($C$5:C45),"000"))</f>
        <v/>
      </c>
      <c r="C45" s="12" t="n"/>
      <c r="D45" s="12" t="n"/>
      <c r="E45" s="13" t="n"/>
      <c r="F45" s="14">
        <f>IF(E45="","",IF(SUM(E5:E104)=0,"",E45/SUM(E5:E104)))</f>
        <v/>
      </c>
      <c r="G45" s="13" t="n"/>
      <c r="H45" s="14">
        <f>IF(OR(G45="",G45=0),"",G45/SUM(G5:G104))</f>
        <v/>
      </c>
      <c r="I45" s="12" t="n"/>
    </row>
    <row r="46" ht="22" customHeight="1">
      <c r="B46" s="19">
        <f>IF(C46="","DIV-"&amp;TEXT(COUNTA($C$5:C46),"000"))</f>
        <v/>
      </c>
      <c r="C46" s="15" t="n"/>
      <c r="D46" s="15" t="n"/>
      <c r="E46" s="16" t="n"/>
      <c r="F46" s="17">
        <f>IF(E46="","",IF(SUM(E5:E104)=0,"",E46/SUM(E5:E104)))</f>
        <v/>
      </c>
      <c r="G46" s="16" t="n"/>
      <c r="H46" s="17">
        <f>IF(OR(G46="",G46=0),"",G46/SUM(G5:G104))</f>
        <v/>
      </c>
      <c r="I46" s="15" t="n"/>
    </row>
    <row r="47" ht="22" customHeight="1">
      <c r="B47" s="18">
        <f>IF(C47="","DIV-"&amp;TEXT(COUNTA($C$5:C47),"000"))</f>
        <v/>
      </c>
      <c r="C47" s="12" t="n"/>
      <c r="D47" s="12" t="n"/>
      <c r="E47" s="13" t="n"/>
      <c r="F47" s="14">
        <f>IF(E47="","",IF(SUM(E5:E104)=0,"",E47/SUM(E5:E104)))</f>
        <v/>
      </c>
      <c r="G47" s="13" t="n"/>
      <c r="H47" s="14">
        <f>IF(OR(G47="",G47=0),"",G47/SUM(G5:G104))</f>
        <v/>
      </c>
      <c r="I47" s="12" t="n"/>
    </row>
    <row r="48" ht="22" customHeight="1">
      <c r="B48" s="19">
        <f>IF(C48="","DIV-"&amp;TEXT(COUNTA($C$5:C48),"000"))</f>
        <v/>
      </c>
      <c r="C48" s="15" t="n"/>
      <c r="D48" s="15" t="n"/>
      <c r="E48" s="16" t="n"/>
      <c r="F48" s="17">
        <f>IF(E48="","",IF(SUM(E5:E104)=0,"",E48/SUM(E5:E104)))</f>
        <v/>
      </c>
      <c r="G48" s="16" t="n"/>
      <c r="H48" s="17">
        <f>IF(OR(G48="",G48=0),"",G48/SUM(G5:G104))</f>
        <v/>
      </c>
      <c r="I48" s="15" t="n"/>
    </row>
    <row r="49" ht="22" customHeight="1">
      <c r="B49" s="18">
        <f>IF(C49="","DIV-"&amp;TEXT(COUNTA($C$5:C49),"000"))</f>
        <v/>
      </c>
      <c r="C49" s="12" t="n"/>
      <c r="D49" s="12" t="n"/>
      <c r="E49" s="13" t="n"/>
      <c r="F49" s="14">
        <f>IF(E49="","",IF(SUM(E5:E104)=0,"",E49/SUM(E5:E104)))</f>
        <v/>
      </c>
      <c r="G49" s="13" t="n"/>
      <c r="H49" s="14">
        <f>IF(OR(G49="",G49=0),"",G49/SUM(G5:G104))</f>
        <v/>
      </c>
      <c r="I49" s="12" t="n"/>
    </row>
    <row r="50" ht="22" customHeight="1">
      <c r="B50" s="19">
        <f>IF(C50="","DIV-"&amp;TEXT(COUNTA($C$5:C50),"000"))</f>
        <v/>
      </c>
      <c r="C50" s="15" t="n"/>
      <c r="D50" s="15" t="n"/>
      <c r="E50" s="16" t="n"/>
      <c r="F50" s="17">
        <f>IF(E50="","",IF(SUM(E5:E104)=0,"",E50/SUM(E5:E104)))</f>
        <v/>
      </c>
      <c r="G50" s="16" t="n"/>
      <c r="H50" s="17">
        <f>IF(OR(G50="",G50=0),"",G50/SUM(G5:G104))</f>
        <v/>
      </c>
      <c r="I50" s="15" t="n"/>
    </row>
    <row r="51" ht="22" customHeight="1">
      <c r="B51" s="18">
        <f>IF(C51="","DIV-"&amp;TEXT(COUNTA($C$5:C51),"000"))</f>
        <v/>
      </c>
      <c r="C51" s="12" t="n"/>
      <c r="D51" s="12" t="n"/>
      <c r="E51" s="13" t="n"/>
      <c r="F51" s="14">
        <f>IF(E51="","",IF(SUM(E5:E104)=0,"",E51/SUM(E5:E104)))</f>
        <v/>
      </c>
      <c r="G51" s="13" t="n"/>
      <c r="H51" s="14">
        <f>IF(OR(G51="",G51=0),"",G51/SUM(G5:G104))</f>
        <v/>
      </c>
      <c r="I51" s="12" t="n"/>
    </row>
    <row r="52" ht="22" customHeight="1">
      <c r="B52" s="19">
        <f>IF(C52="","DIV-"&amp;TEXT(COUNTA($C$5:C52),"000"))</f>
        <v/>
      </c>
      <c r="C52" s="15" t="n"/>
      <c r="D52" s="15" t="n"/>
      <c r="E52" s="16" t="n"/>
      <c r="F52" s="17">
        <f>IF(E52="","",IF(SUM(E5:E104)=0,"",E52/SUM(E5:E104)))</f>
        <v/>
      </c>
      <c r="G52" s="16" t="n"/>
      <c r="H52" s="17">
        <f>IF(OR(G52="",G52=0),"",G52/SUM(G5:G104))</f>
        <v/>
      </c>
      <c r="I52" s="15" t="n"/>
    </row>
    <row r="53" ht="22" customHeight="1">
      <c r="B53" s="18">
        <f>IF(C53="","DIV-"&amp;TEXT(COUNTA($C$5:C53),"000"))</f>
        <v/>
      </c>
      <c r="C53" s="12" t="n"/>
      <c r="D53" s="12" t="n"/>
      <c r="E53" s="13" t="n"/>
      <c r="F53" s="14">
        <f>IF(E53="","",IF(SUM(E5:E104)=0,"",E53/SUM(E5:E104)))</f>
        <v/>
      </c>
      <c r="G53" s="13" t="n"/>
      <c r="H53" s="14">
        <f>IF(OR(G53="",G53=0),"",G53/SUM(G5:G104))</f>
        <v/>
      </c>
      <c r="I53" s="12" t="n"/>
    </row>
    <row r="54" ht="22" customHeight="1">
      <c r="B54" s="19">
        <f>IF(C54="","DIV-"&amp;TEXT(COUNTA($C$5:C54),"000"))</f>
        <v/>
      </c>
      <c r="C54" s="15" t="n"/>
      <c r="D54" s="15" t="n"/>
      <c r="E54" s="16" t="n"/>
      <c r="F54" s="17">
        <f>IF(E54="","",IF(SUM(E5:E104)=0,"",E54/SUM(E5:E104)))</f>
        <v/>
      </c>
      <c r="G54" s="16" t="n"/>
      <c r="H54" s="17">
        <f>IF(OR(G54="",G54=0),"",G54/SUM(G5:G104))</f>
        <v/>
      </c>
      <c r="I54" s="15" t="n"/>
    </row>
    <row r="55" ht="22" customHeight="1">
      <c r="B55" s="18">
        <f>IF(C55="","DIV-"&amp;TEXT(COUNTA($C$5:C55),"000"))</f>
        <v/>
      </c>
      <c r="C55" s="12" t="n"/>
      <c r="D55" s="12" t="n"/>
      <c r="E55" s="13" t="n"/>
      <c r="F55" s="14">
        <f>IF(E55="","",IF(SUM(E5:E104)=0,"",E55/SUM(E5:E104)))</f>
        <v/>
      </c>
      <c r="G55" s="13" t="n"/>
      <c r="H55" s="14">
        <f>IF(OR(G55="",G55=0),"",G55/SUM(G5:G104))</f>
        <v/>
      </c>
      <c r="I55" s="12" t="n"/>
    </row>
    <row r="56" ht="22" customHeight="1">
      <c r="B56" s="19">
        <f>IF(C56="","DIV-"&amp;TEXT(COUNTA($C$5:C56),"000"))</f>
        <v/>
      </c>
      <c r="C56" s="15" t="n"/>
      <c r="D56" s="15" t="n"/>
      <c r="E56" s="16" t="n"/>
      <c r="F56" s="17">
        <f>IF(E56="","",IF(SUM(E5:E104)=0,"",E56/SUM(E5:E104)))</f>
        <v/>
      </c>
      <c r="G56" s="16" t="n"/>
      <c r="H56" s="17">
        <f>IF(OR(G56="",G56=0),"",G56/SUM(G5:G104))</f>
        <v/>
      </c>
      <c r="I56" s="15" t="n"/>
    </row>
    <row r="57" ht="22" customHeight="1">
      <c r="B57" s="18">
        <f>IF(C57="","DIV-"&amp;TEXT(COUNTA($C$5:C57),"000"))</f>
        <v/>
      </c>
      <c r="C57" s="12" t="n"/>
      <c r="D57" s="12" t="n"/>
      <c r="E57" s="13" t="n"/>
      <c r="F57" s="14">
        <f>IF(E57="","",IF(SUM(E5:E104)=0,"",E57/SUM(E5:E104)))</f>
        <v/>
      </c>
      <c r="G57" s="13" t="n"/>
      <c r="H57" s="14">
        <f>IF(OR(G57="",G57=0),"",G57/SUM(G5:G104))</f>
        <v/>
      </c>
      <c r="I57" s="12" t="n"/>
    </row>
    <row r="58" ht="22" customHeight="1">
      <c r="B58" s="19">
        <f>IF(C58="","DIV-"&amp;TEXT(COUNTA($C$5:C58),"000"))</f>
        <v/>
      </c>
      <c r="C58" s="15" t="n"/>
      <c r="D58" s="15" t="n"/>
      <c r="E58" s="16" t="n"/>
      <c r="F58" s="17">
        <f>IF(E58="","",IF(SUM(E5:E104)=0,"",E58/SUM(E5:E104)))</f>
        <v/>
      </c>
      <c r="G58" s="16" t="n"/>
      <c r="H58" s="17">
        <f>IF(OR(G58="",G58=0),"",G58/SUM(G5:G104))</f>
        <v/>
      </c>
      <c r="I58" s="15" t="n"/>
    </row>
    <row r="59" ht="22" customHeight="1">
      <c r="B59" s="18">
        <f>IF(C59="","DIV-"&amp;TEXT(COUNTA($C$5:C59),"000"))</f>
        <v/>
      </c>
      <c r="C59" s="12" t="n"/>
      <c r="D59" s="12" t="n"/>
      <c r="E59" s="13" t="n"/>
      <c r="F59" s="14">
        <f>IF(E59="","",IF(SUM(E5:E104)=0,"",E59/SUM(E5:E104)))</f>
        <v/>
      </c>
      <c r="G59" s="13" t="n"/>
      <c r="H59" s="14">
        <f>IF(OR(G59="",G59=0),"",G59/SUM(G5:G104))</f>
        <v/>
      </c>
      <c r="I59" s="12" t="n"/>
    </row>
    <row r="60" ht="22" customHeight="1">
      <c r="B60" s="19">
        <f>IF(C60="","DIV-"&amp;TEXT(COUNTA($C$5:C60),"000"))</f>
        <v/>
      </c>
      <c r="C60" s="15" t="n"/>
      <c r="D60" s="15" t="n"/>
      <c r="E60" s="16" t="n"/>
      <c r="F60" s="17">
        <f>IF(E60="","",IF(SUM(E5:E104)=0,"",E60/SUM(E5:E104)))</f>
        <v/>
      </c>
      <c r="G60" s="16" t="n"/>
      <c r="H60" s="17">
        <f>IF(OR(G60="",G60=0),"",G60/SUM(G5:G104))</f>
        <v/>
      </c>
      <c r="I60" s="15" t="n"/>
    </row>
    <row r="61" ht="22" customHeight="1">
      <c r="B61" s="18">
        <f>IF(C61="","DIV-"&amp;TEXT(COUNTA($C$5:C61),"000"))</f>
        <v/>
      </c>
      <c r="C61" s="12" t="n"/>
      <c r="D61" s="12" t="n"/>
      <c r="E61" s="13" t="n"/>
      <c r="F61" s="14">
        <f>IF(E61="","",IF(SUM(E5:E104)=0,"",E61/SUM(E5:E104)))</f>
        <v/>
      </c>
      <c r="G61" s="13" t="n"/>
      <c r="H61" s="14">
        <f>IF(OR(G61="",G61=0),"",G61/SUM(G5:G104))</f>
        <v/>
      </c>
      <c r="I61" s="12" t="n"/>
    </row>
    <row r="62" ht="22" customHeight="1">
      <c r="B62" s="19">
        <f>IF(C62="","DIV-"&amp;TEXT(COUNTA($C$5:C62),"000"))</f>
        <v/>
      </c>
      <c r="C62" s="15" t="n"/>
      <c r="D62" s="15" t="n"/>
      <c r="E62" s="16" t="n"/>
      <c r="F62" s="17">
        <f>IF(E62="","",IF(SUM(E5:E104)=0,"",E62/SUM(E5:E104)))</f>
        <v/>
      </c>
      <c r="G62" s="16" t="n"/>
      <c r="H62" s="17">
        <f>IF(OR(G62="",G62=0),"",G62/SUM(G5:G104))</f>
        <v/>
      </c>
      <c r="I62" s="15" t="n"/>
    </row>
    <row r="63" ht="22" customHeight="1">
      <c r="B63" s="18">
        <f>IF(C63="","DIV-"&amp;TEXT(COUNTA($C$5:C63),"000"))</f>
        <v/>
      </c>
      <c r="C63" s="12" t="n"/>
      <c r="D63" s="12" t="n"/>
      <c r="E63" s="13" t="n"/>
      <c r="F63" s="14">
        <f>IF(E63="","",IF(SUM(E5:E104)=0,"",E63/SUM(E5:E104)))</f>
        <v/>
      </c>
      <c r="G63" s="13" t="n"/>
      <c r="H63" s="14">
        <f>IF(OR(G63="",G63=0),"",G63/SUM(G5:G104))</f>
        <v/>
      </c>
      <c r="I63" s="12" t="n"/>
    </row>
    <row r="64" ht="22" customHeight="1">
      <c r="B64" s="19">
        <f>IF(C64="","DIV-"&amp;TEXT(COUNTA($C$5:C64),"000"))</f>
        <v/>
      </c>
      <c r="C64" s="15" t="n"/>
      <c r="D64" s="15" t="n"/>
      <c r="E64" s="16" t="n"/>
      <c r="F64" s="17">
        <f>IF(E64="","",IF(SUM(E5:E104)=0,"",E64/SUM(E5:E104)))</f>
        <v/>
      </c>
      <c r="G64" s="16" t="n"/>
      <c r="H64" s="17">
        <f>IF(OR(G64="",G64=0),"",G64/SUM(G5:G104))</f>
        <v/>
      </c>
      <c r="I64" s="15" t="n"/>
    </row>
    <row r="65" ht="22" customHeight="1">
      <c r="B65" s="18">
        <f>IF(C65="","DIV-"&amp;TEXT(COUNTA($C$5:C65),"000"))</f>
        <v/>
      </c>
      <c r="C65" s="12" t="n"/>
      <c r="D65" s="12" t="n"/>
      <c r="E65" s="13" t="n"/>
      <c r="F65" s="14">
        <f>IF(E65="","",IF(SUM(E5:E104)=0,"",E65/SUM(E5:E104)))</f>
        <v/>
      </c>
      <c r="G65" s="13" t="n"/>
      <c r="H65" s="14">
        <f>IF(OR(G65="",G65=0),"",G65/SUM(G5:G104))</f>
        <v/>
      </c>
      <c r="I65" s="12" t="n"/>
    </row>
    <row r="66" ht="22" customHeight="1">
      <c r="B66" s="19">
        <f>IF(C66="","DIV-"&amp;TEXT(COUNTA($C$5:C66),"000"))</f>
        <v/>
      </c>
      <c r="C66" s="15" t="n"/>
      <c r="D66" s="15" t="n"/>
      <c r="E66" s="16" t="n"/>
      <c r="F66" s="17">
        <f>IF(E66="","",IF(SUM(E5:E104)=0,"",E66/SUM(E5:E104)))</f>
        <v/>
      </c>
      <c r="G66" s="16" t="n"/>
      <c r="H66" s="17">
        <f>IF(OR(G66="",G66=0),"",G66/SUM(G5:G104))</f>
        <v/>
      </c>
      <c r="I66" s="15" t="n"/>
    </row>
    <row r="67" ht="22" customHeight="1">
      <c r="B67" s="18">
        <f>IF(C67="","DIV-"&amp;TEXT(COUNTA($C$5:C67),"000"))</f>
        <v/>
      </c>
      <c r="C67" s="12" t="n"/>
      <c r="D67" s="12" t="n"/>
      <c r="E67" s="13" t="n"/>
      <c r="F67" s="14">
        <f>IF(E67="","",IF(SUM(E5:E104)=0,"",E67/SUM(E5:E104)))</f>
        <v/>
      </c>
      <c r="G67" s="13" t="n"/>
      <c r="H67" s="14">
        <f>IF(OR(G67="",G67=0),"",G67/SUM(G5:G104))</f>
        <v/>
      </c>
      <c r="I67" s="12" t="n"/>
    </row>
    <row r="68" ht="22" customHeight="1">
      <c r="B68" s="19">
        <f>IF(C68="","DIV-"&amp;TEXT(COUNTA($C$5:C68),"000"))</f>
        <v/>
      </c>
      <c r="C68" s="15" t="n"/>
      <c r="D68" s="15" t="n"/>
      <c r="E68" s="16" t="n"/>
      <c r="F68" s="17">
        <f>IF(E68="","",IF(SUM(E5:E104)=0,"",E68/SUM(E5:E104)))</f>
        <v/>
      </c>
      <c r="G68" s="16" t="n"/>
      <c r="H68" s="17">
        <f>IF(OR(G68="",G68=0),"",G68/SUM(G5:G104))</f>
        <v/>
      </c>
      <c r="I68" s="15" t="n"/>
    </row>
    <row r="69" ht="22" customHeight="1">
      <c r="B69" s="18">
        <f>IF(C69="","DIV-"&amp;TEXT(COUNTA($C$5:C69),"000"))</f>
        <v/>
      </c>
      <c r="C69" s="12" t="n"/>
      <c r="D69" s="12" t="n"/>
      <c r="E69" s="13" t="n"/>
      <c r="F69" s="14">
        <f>IF(E69="","",IF(SUM(E5:E104)=0,"",E69/SUM(E5:E104)))</f>
        <v/>
      </c>
      <c r="G69" s="13" t="n"/>
      <c r="H69" s="14">
        <f>IF(OR(G69="",G69=0),"",G69/SUM(G5:G104))</f>
        <v/>
      </c>
      <c r="I69" s="12" t="n"/>
    </row>
    <row r="70" ht="22" customHeight="1">
      <c r="B70" s="19">
        <f>IF(C70="","DIV-"&amp;TEXT(COUNTA($C$5:C70),"000"))</f>
        <v/>
      </c>
      <c r="C70" s="15" t="n"/>
      <c r="D70" s="15" t="n"/>
      <c r="E70" s="16" t="n"/>
      <c r="F70" s="17">
        <f>IF(E70="","",IF(SUM(E5:E104)=0,"",E70/SUM(E5:E104)))</f>
        <v/>
      </c>
      <c r="G70" s="16" t="n"/>
      <c r="H70" s="17">
        <f>IF(OR(G70="",G70=0),"",G70/SUM(G5:G104))</f>
        <v/>
      </c>
      <c r="I70" s="15" t="n"/>
    </row>
    <row r="71" ht="22" customHeight="1">
      <c r="B71" s="18">
        <f>IF(C71="","DIV-"&amp;TEXT(COUNTA($C$5:C71),"000"))</f>
        <v/>
      </c>
      <c r="C71" s="12" t="n"/>
      <c r="D71" s="12" t="n"/>
      <c r="E71" s="13" t="n"/>
      <c r="F71" s="14">
        <f>IF(E71="","",IF(SUM(E5:E104)=0,"",E71/SUM(E5:E104)))</f>
        <v/>
      </c>
      <c r="G71" s="13" t="n"/>
      <c r="H71" s="14">
        <f>IF(OR(G71="",G71=0),"",G71/SUM(G5:G104))</f>
        <v/>
      </c>
      <c r="I71" s="12" t="n"/>
    </row>
    <row r="72" ht="22" customHeight="1">
      <c r="B72" s="19">
        <f>IF(C72="","DIV-"&amp;TEXT(COUNTA($C$5:C72),"000"))</f>
        <v/>
      </c>
      <c r="C72" s="15" t="n"/>
      <c r="D72" s="15" t="n"/>
      <c r="E72" s="16" t="n"/>
      <c r="F72" s="17">
        <f>IF(E72="","",IF(SUM(E5:E104)=0,"",E72/SUM(E5:E104)))</f>
        <v/>
      </c>
      <c r="G72" s="16" t="n"/>
      <c r="H72" s="17">
        <f>IF(OR(G72="",G72=0),"",G72/SUM(G5:G104))</f>
        <v/>
      </c>
      <c r="I72" s="15" t="n"/>
    </row>
    <row r="73" ht="22" customHeight="1">
      <c r="B73" s="18">
        <f>IF(C73="","DIV-"&amp;TEXT(COUNTA($C$5:C73),"000"))</f>
        <v/>
      </c>
      <c r="C73" s="12" t="n"/>
      <c r="D73" s="12" t="n"/>
      <c r="E73" s="13" t="n"/>
      <c r="F73" s="14">
        <f>IF(E73="","",IF(SUM(E5:E104)=0,"",E73/SUM(E5:E104)))</f>
        <v/>
      </c>
      <c r="G73" s="13" t="n"/>
      <c r="H73" s="14">
        <f>IF(OR(G73="",G73=0),"",G73/SUM(G5:G104))</f>
        <v/>
      </c>
      <c r="I73" s="12" t="n"/>
    </row>
    <row r="74" ht="22" customHeight="1">
      <c r="B74" s="19">
        <f>IF(C74="","DIV-"&amp;TEXT(COUNTA($C$5:C74),"000"))</f>
        <v/>
      </c>
      <c r="C74" s="15" t="n"/>
      <c r="D74" s="15" t="n"/>
      <c r="E74" s="16" t="n"/>
      <c r="F74" s="17">
        <f>IF(E74="","",IF(SUM(E5:E104)=0,"",E74/SUM(E5:E104)))</f>
        <v/>
      </c>
      <c r="G74" s="16" t="n"/>
      <c r="H74" s="17">
        <f>IF(OR(G74="",G74=0),"",G74/SUM(G5:G104))</f>
        <v/>
      </c>
      <c r="I74" s="15" t="n"/>
    </row>
    <row r="75" ht="22" customHeight="1">
      <c r="B75" s="18">
        <f>IF(C75="","DIV-"&amp;TEXT(COUNTA($C$5:C75),"000"))</f>
        <v/>
      </c>
      <c r="C75" s="12" t="n"/>
      <c r="D75" s="12" t="n"/>
      <c r="E75" s="13" t="n"/>
      <c r="F75" s="14">
        <f>IF(E75="","",IF(SUM(E5:E104)=0,"",E75/SUM(E5:E104)))</f>
        <v/>
      </c>
      <c r="G75" s="13" t="n"/>
      <c r="H75" s="14">
        <f>IF(OR(G75="",G75=0),"",G75/SUM(G5:G104))</f>
        <v/>
      </c>
      <c r="I75" s="12" t="n"/>
    </row>
    <row r="76" ht="22" customHeight="1">
      <c r="B76" s="19">
        <f>IF(C76="","DIV-"&amp;TEXT(COUNTA($C$5:C76),"000"))</f>
        <v/>
      </c>
      <c r="C76" s="15" t="n"/>
      <c r="D76" s="15" t="n"/>
      <c r="E76" s="16" t="n"/>
      <c r="F76" s="17">
        <f>IF(E76="","",IF(SUM(E5:E104)=0,"",E76/SUM(E5:E104)))</f>
        <v/>
      </c>
      <c r="G76" s="16" t="n"/>
      <c r="H76" s="17">
        <f>IF(OR(G76="",G76=0),"",G76/SUM(G5:G104))</f>
        <v/>
      </c>
      <c r="I76" s="15" t="n"/>
    </row>
    <row r="77" ht="22" customHeight="1">
      <c r="B77" s="18">
        <f>IF(C77="","DIV-"&amp;TEXT(COUNTA($C$5:C77),"000"))</f>
        <v/>
      </c>
      <c r="C77" s="12" t="n"/>
      <c r="D77" s="12" t="n"/>
      <c r="E77" s="13" t="n"/>
      <c r="F77" s="14">
        <f>IF(E77="","",IF(SUM(E5:E104)=0,"",E77/SUM(E5:E104)))</f>
        <v/>
      </c>
      <c r="G77" s="13" t="n"/>
      <c r="H77" s="14">
        <f>IF(OR(G77="",G77=0),"",G77/SUM(G5:G104))</f>
        <v/>
      </c>
      <c r="I77" s="12" t="n"/>
    </row>
    <row r="78" ht="22" customHeight="1">
      <c r="B78" s="19">
        <f>IF(C78="","DIV-"&amp;TEXT(COUNTA($C$5:C78),"000"))</f>
        <v/>
      </c>
      <c r="C78" s="15" t="n"/>
      <c r="D78" s="15" t="n"/>
      <c r="E78" s="16" t="n"/>
      <c r="F78" s="17">
        <f>IF(E78="","",IF(SUM(E5:E104)=0,"",E78/SUM(E5:E104)))</f>
        <v/>
      </c>
      <c r="G78" s="16" t="n"/>
      <c r="H78" s="17">
        <f>IF(OR(G78="",G78=0),"",G78/SUM(G5:G104))</f>
        <v/>
      </c>
      <c r="I78" s="15" t="n"/>
    </row>
    <row r="79" ht="22" customHeight="1">
      <c r="B79" s="18">
        <f>IF(C79="","DIV-"&amp;TEXT(COUNTA($C$5:C79),"000"))</f>
        <v/>
      </c>
      <c r="C79" s="12" t="n"/>
      <c r="D79" s="12" t="n"/>
      <c r="E79" s="13" t="n"/>
      <c r="F79" s="14">
        <f>IF(E79="","",IF(SUM(E5:E104)=0,"",E79/SUM(E5:E104)))</f>
        <v/>
      </c>
      <c r="G79" s="13" t="n"/>
      <c r="H79" s="14">
        <f>IF(OR(G79="",G79=0),"",G79/SUM(G5:G104))</f>
        <v/>
      </c>
      <c r="I79" s="12" t="n"/>
    </row>
    <row r="80" ht="22" customHeight="1">
      <c r="B80" s="19">
        <f>IF(C80="","DIV-"&amp;TEXT(COUNTA($C$5:C80),"000"))</f>
        <v/>
      </c>
      <c r="C80" s="15" t="n"/>
      <c r="D80" s="15" t="n"/>
      <c r="E80" s="16" t="n"/>
      <c r="F80" s="17">
        <f>IF(E80="","",IF(SUM(E5:E104)=0,"",E80/SUM(E5:E104)))</f>
        <v/>
      </c>
      <c r="G80" s="16" t="n"/>
      <c r="H80" s="17">
        <f>IF(OR(G80="",G80=0),"",G80/SUM(G5:G104))</f>
        <v/>
      </c>
      <c r="I80" s="15" t="n"/>
    </row>
    <row r="81" ht="22" customHeight="1">
      <c r="B81" s="18">
        <f>IF(C81="","DIV-"&amp;TEXT(COUNTA($C$5:C81),"000"))</f>
        <v/>
      </c>
      <c r="C81" s="12" t="n"/>
      <c r="D81" s="12" t="n"/>
      <c r="E81" s="13" t="n"/>
      <c r="F81" s="14">
        <f>IF(E81="","",IF(SUM(E5:E104)=0,"",E81/SUM(E5:E104)))</f>
        <v/>
      </c>
      <c r="G81" s="13" t="n"/>
      <c r="H81" s="14">
        <f>IF(OR(G81="",G81=0),"",G81/SUM(G5:G104))</f>
        <v/>
      </c>
      <c r="I81" s="12" t="n"/>
    </row>
    <row r="82" ht="22" customHeight="1">
      <c r="B82" s="19">
        <f>IF(C82="","DIV-"&amp;TEXT(COUNTA($C$5:C82),"000"))</f>
        <v/>
      </c>
      <c r="C82" s="15" t="n"/>
      <c r="D82" s="15" t="n"/>
      <c r="E82" s="16" t="n"/>
      <c r="F82" s="17">
        <f>IF(E82="","",IF(SUM(E5:E104)=0,"",E82/SUM(E5:E104)))</f>
        <v/>
      </c>
      <c r="G82" s="16" t="n"/>
      <c r="H82" s="17">
        <f>IF(OR(G82="",G82=0),"",G82/SUM(G5:G104))</f>
        <v/>
      </c>
      <c r="I82" s="15" t="n"/>
    </row>
    <row r="83" ht="22" customHeight="1">
      <c r="B83" s="18">
        <f>IF(C83="","DIV-"&amp;TEXT(COUNTA($C$5:C83),"000"))</f>
        <v/>
      </c>
      <c r="C83" s="12" t="n"/>
      <c r="D83" s="12" t="n"/>
      <c r="E83" s="13" t="n"/>
      <c r="F83" s="14">
        <f>IF(E83="","",IF(SUM(E5:E104)=0,"",E83/SUM(E5:E104)))</f>
        <v/>
      </c>
      <c r="G83" s="13" t="n"/>
      <c r="H83" s="14">
        <f>IF(OR(G83="",G83=0),"",G83/SUM(G5:G104))</f>
        <v/>
      </c>
      <c r="I83" s="12" t="n"/>
    </row>
    <row r="84" ht="22" customHeight="1">
      <c r="B84" s="19">
        <f>IF(C84="","DIV-"&amp;TEXT(COUNTA($C$5:C84),"000"))</f>
        <v/>
      </c>
      <c r="C84" s="15" t="n"/>
      <c r="D84" s="15" t="n"/>
      <c r="E84" s="16" t="n"/>
      <c r="F84" s="17">
        <f>IF(E84="","",IF(SUM(E5:E104)=0,"",E84/SUM(E5:E104)))</f>
        <v/>
      </c>
      <c r="G84" s="16" t="n"/>
      <c r="H84" s="17">
        <f>IF(OR(G84="",G84=0),"",G84/SUM(G5:G104))</f>
        <v/>
      </c>
      <c r="I84" s="15" t="n"/>
    </row>
    <row r="85" ht="22" customHeight="1">
      <c r="B85" s="18">
        <f>IF(C85="","DIV-"&amp;TEXT(COUNTA($C$5:C85),"000"))</f>
        <v/>
      </c>
      <c r="C85" s="12" t="n"/>
      <c r="D85" s="12" t="n"/>
      <c r="E85" s="13" t="n"/>
      <c r="F85" s="14">
        <f>IF(E85="","",IF(SUM(E5:E104)=0,"",E85/SUM(E5:E104)))</f>
        <v/>
      </c>
      <c r="G85" s="13" t="n"/>
      <c r="H85" s="14">
        <f>IF(OR(G85="",G85=0),"",G85/SUM(G5:G104))</f>
        <v/>
      </c>
      <c r="I85" s="12" t="n"/>
    </row>
    <row r="86" ht="22" customHeight="1">
      <c r="B86" s="19">
        <f>IF(C86="","DIV-"&amp;TEXT(COUNTA($C$5:C86),"000"))</f>
        <v/>
      </c>
      <c r="C86" s="15" t="n"/>
      <c r="D86" s="15" t="n"/>
      <c r="E86" s="16" t="n"/>
      <c r="F86" s="17">
        <f>IF(E86="","",IF(SUM(E5:E104)=0,"",E86/SUM(E5:E104)))</f>
        <v/>
      </c>
      <c r="G86" s="16" t="n"/>
      <c r="H86" s="17">
        <f>IF(OR(G86="",G86=0),"",G86/SUM(G5:G104))</f>
        <v/>
      </c>
      <c r="I86" s="15" t="n"/>
    </row>
    <row r="87" ht="22" customHeight="1">
      <c r="B87" s="18">
        <f>IF(C87="","DIV-"&amp;TEXT(COUNTA($C$5:C87),"000"))</f>
        <v/>
      </c>
      <c r="C87" s="12" t="n"/>
      <c r="D87" s="12" t="n"/>
      <c r="E87" s="13" t="n"/>
      <c r="F87" s="14">
        <f>IF(E87="","",IF(SUM(E5:E104)=0,"",E87/SUM(E5:E104)))</f>
        <v/>
      </c>
      <c r="G87" s="13" t="n"/>
      <c r="H87" s="14">
        <f>IF(OR(G87="",G87=0),"",G87/SUM(G5:G104))</f>
        <v/>
      </c>
      <c r="I87" s="12" t="n"/>
    </row>
    <row r="88" ht="22" customHeight="1">
      <c r="B88" s="19">
        <f>IF(C88="","DIV-"&amp;TEXT(COUNTA($C$5:C88),"000"))</f>
        <v/>
      </c>
      <c r="C88" s="15" t="n"/>
      <c r="D88" s="15" t="n"/>
      <c r="E88" s="16" t="n"/>
      <c r="F88" s="17">
        <f>IF(E88="","",IF(SUM(E5:E104)=0,"",E88/SUM(E5:E104)))</f>
        <v/>
      </c>
      <c r="G88" s="16" t="n"/>
      <c r="H88" s="17">
        <f>IF(OR(G88="",G88=0),"",G88/SUM(G5:G104))</f>
        <v/>
      </c>
      <c r="I88" s="15" t="n"/>
    </row>
    <row r="89" ht="22" customHeight="1">
      <c r="B89" s="18">
        <f>IF(C89="","DIV-"&amp;TEXT(COUNTA($C$5:C89),"000"))</f>
        <v/>
      </c>
      <c r="C89" s="12" t="n"/>
      <c r="D89" s="12" t="n"/>
      <c r="E89" s="13" t="n"/>
      <c r="F89" s="14">
        <f>IF(E89="","",IF(SUM(E5:E104)=0,"",E89/SUM(E5:E104)))</f>
        <v/>
      </c>
      <c r="G89" s="13" t="n"/>
      <c r="H89" s="14">
        <f>IF(OR(G89="",G89=0),"",G89/SUM(G5:G104))</f>
        <v/>
      </c>
      <c r="I89" s="12" t="n"/>
    </row>
    <row r="90" ht="22" customHeight="1">
      <c r="B90" s="19">
        <f>IF(C90="","DIV-"&amp;TEXT(COUNTA($C$5:C90),"000"))</f>
        <v/>
      </c>
      <c r="C90" s="15" t="n"/>
      <c r="D90" s="15" t="n"/>
      <c r="E90" s="16" t="n"/>
      <c r="F90" s="17">
        <f>IF(E90="","",IF(SUM(E5:E104)=0,"",E90/SUM(E5:E104)))</f>
        <v/>
      </c>
      <c r="G90" s="16" t="n"/>
      <c r="H90" s="17">
        <f>IF(OR(G90="",G90=0),"",G90/SUM(G5:G104))</f>
        <v/>
      </c>
      <c r="I90" s="15" t="n"/>
    </row>
    <row r="91" ht="22" customHeight="1">
      <c r="B91" s="18">
        <f>IF(C91="","DIV-"&amp;TEXT(COUNTA($C$5:C91),"000"))</f>
        <v/>
      </c>
      <c r="C91" s="12" t="n"/>
      <c r="D91" s="12" t="n"/>
      <c r="E91" s="13" t="n"/>
      <c r="F91" s="14">
        <f>IF(E91="","",IF(SUM(E5:E104)=0,"",E91/SUM(E5:E104)))</f>
        <v/>
      </c>
      <c r="G91" s="13" t="n"/>
      <c r="H91" s="14">
        <f>IF(OR(G91="",G91=0),"",G91/SUM(G5:G104))</f>
        <v/>
      </c>
      <c r="I91" s="12" t="n"/>
    </row>
    <row r="92" ht="22" customHeight="1">
      <c r="B92" s="19">
        <f>IF(C92="","DIV-"&amp;TEXT(COUNTA($C$5:C92),"000"))</f>
        <v/>
      </c>
      <c r="C92" s="15" t="n"/>
      <c r="D92" s="15" t="n"/>
      <c r="E92" s="16" t="n"/>
      <c r="F92" s="17">
        <f>IF(E92="","",IF(SUM(E5:E104)=0,"",E92/SUM(E5:E104)))</f>
        <v/>
      </c>
      <c r="G92" s="16" t="n"/>
      <c r="H92" s="17">
        <f>IF(OR(G92="",G92=0),"",G92/SUM(G5:G104))</f>
        <v/>
      </c>
      <c r="I92" s="15" t="n"/>
    </row>
    <row r="93" ht="22" customHeight="1">
      <c r="B93" s="18">
        <f>IF(C93="","DIV-"&amp;TEXT(COUNTA($C$5:C93),"000"))</f>
        <v/>
      </c>
      <c r="C93" s="12" t="n"/>
      <c r="D93" s="12" t="n"/>
      <c r="E93" s="13" t="n"/>
      <c r="F93" s="14">
        <f>IF(E93="","",IF(SUM(E5:E104)=0,"",E93/SUM(E5:E104)))</f>
        <v/>
      </c>
      <c r="G93" s="13" t="n"/>
      <c r="H93" s="14">
        <f>IF(OR(G93="",G93=0),"",G93/SUM(G5:G104))</f>
        <v/>
      </c>
      <c r="I93" s="12" t="n"/>
    </row>
    <row r="94" ht="22" customHeight="1">
      <c r="B94" s="19">
        <f>IF(C94="","DIV-"&amp;TEXT(COUNTA($C$5:C94),"000"))</f>
        <v/>
      </c>
      <c r="C94" s="15" t="n"/>
      <c r="D94" s="15" t="n"/>
      <c r="E94" s="16" t="n"/>
      <c r="F94" s="17">
        <f>IF(E94="","",IF(SUM(E5:E104)=0,"",E94/SUM(E5:E104)))</f>
        <v/>
      </c>
      <c r="G94" s="16" t="n"/>
      <c r="H94" s="17">
        <f>IF(OR(G94="",G94=0),"",G94/SUM(G5:G104))</f>
        <v/>
      </c>
      <c r="I94" s="15" t="n"/>
    </row>
    <row r="95" ht="22" customHeight="1">
      <c r="B95" s="18">
        <f>IF(C95="","DIV-"&amp;TEXT(COUNTA($C$5:C95),"000"))</f>
        <v/>
      </c>
      <c r="C95" s="12" t="n"/>
      <c r="D95" s="12" t="n"/>
      <c r="E95" s="13" t="n"/>
      <c r="F95" s="14">
        <f>IF(E95="","",IF(SUM(E5:E104)=0,"",E95/SUM(E5:E104)))</f>
        <v/>
      </c>
      <c r="G95" s="13" t="n"/>
      <c r="H95" s="14">
        <f>IF(OR(G95="",G95=0),"",G95/SUM(G5:G104))</f>
        <v/>
      </c>
      <c r="I95" s="12" t="n"/>
    </row>
    <row r="96" ht="22" customHeight="1">
      <c r="B96" s="19">
        <f>IF(C96="","DIV-"&amp;TEXT(COUNTA($C$5:C96),"000"))</f>
        <v/>
      </c>
      <c r="C96" s="15" t="n"/>
      <c r="D96" s="15" t="n"/>
      <c r="E96" s="16" t="n"/>
      <c r="F96" s="17">
        <f>IF(E96="","",IF(SUM(E5:E104)=0,"",E96/SUM(E5:E104)))</f>
        <v/>
      </c>
      <c r="G96" s="16" t="n"/>
      <c r="H96" s="17">
        <f>IF(OR(G96="",G96=0),"",G96/SUM(G5:G104))</f>
        <v/>
      </c>
      <c r="I96" s="15" t="n"/>
    </row>
    <row r="97" ht="22" customHeight="1">
      <c r="B97" s="18">
        <f>IF(C97="","DIV-"&amp;TEXT(COUNTA($C$5:C97),"000"))</f>
        <v/>
      </c>
      <c r="C97" s="12" t="n"/>
      <c r="D97" s="12" t="n"/>
      <c r="E97" s="13" t="n"/>
      <c r="F97" s="14">
        <f>IF(E97="","",IF(SUM(E5:E104)=0,"",E97/SUM(E5:E104)))</f>
        <v/>
      </c>
      <c r="G97" s="13" t="n"/>
      <c r="H97" s="14">
        <f>IF(OR(G97="",G97=0),"",G97/SUM(G5:G104))</f>
        <v/>
      </c>
      <c r="I97" s="12" t="n"/>
    </row>
    <row r="98" ht="22" customHeight="1">
      <c r="B98" s="19">
        <f>IF(C98="","DIV-"&amp;TEXT(COUNTA($C$5:C98),"000"))</f>
        <v/>
      </c>
      <c r="C98" s="15" t="n"/>
      <c r="D98" s="15" t="n"/>
      <c r="E98" s="16" t="n"/>
      <c r="F98" s="17">
        <f>IF(E98="","",IF(SUM(E5:E104)=0,"",E98/SUM(E5:E104)))</f>
        <v/>
      </c>
      <c r="G98" s="16" t="n"/>
      <c r="H98" s="17">
        <f>IF(OR(G98="",G98=0),"",G98/SUM(G5:G104))</f>
        <v/>
      </c>
      <c r="I98" s="15" t="n"/>
    </row>
    <row r="99" ht="22" customHeight="1">
      <c r="B99" s="18">
        <f>IF(C99="","DIV-"&amp;TEXT(COUNTA($C$5:C99),"000"))</f>
        <v/>
      </c>
      <c r="C99" s="12" t="n"/>
      <c r="D99" s="12" t="n"/>
      <c r="E99" s="13" t="n"/>
      <c r="F99" s="14">
        <f>IF(E99="","",IF(SUM(E5:E104)=0,"",E99/SUM(E5:E104)))</f>
        <v/>
      </c>
      <c r="G99" s="13" t="n"/>
      <c r="H99" s="14">
        <f>IF(OR(G99="",G99=0),"",G99/SUM(G5:G104))</f>
        <v/>
      </c>
      <c r="I99" s="12" t="n"/>
    </row>
    <row r="100" ht="22" customHeight="1">
      <c r="B100" s="19">
        <f>IF(C100="","DIV-"&amp;TEXT(COUNTA($C$5:C100),"000"))</f>
        <v/>
      </c>
      <c r="C100" s="15" t="n"/>
      <c r="D100" s="15" t="n"/>
      <c r="E100" s="16" t="n"/>
      <c r="F100" s="17">
        <f>IF(E100="","",IF(SUM(E5:E104)=0,"",E100/SUM(E5:E104)))</f>
        <v/>
      </c>
      <c r="G100" s="16" t="n"/>
      <c r="H100" s="17">
        <f>IF(OR(G100="",G100=0),"",G100/SUM(G5:G104))</f>
        <v/>
      </c>
      <c r="I100" s="15" t="n"/>
    </row>
    <row r="101" ht="22" customHeight="1">
      <c r="B101" s="18">
        <f>IF(C101="","DIV-"&amp;TEXT(COUNTA($C$5:C101),"000"))</f>
        <v/>
      </c>
      <c r="C101" s="12" t="n"/>
      <c r="D101" s="12" t="n"/>
      <c r="E101" s="13" t="n"/>
      <c r="F101" s="14">
        <f>IF(E101="","",IF(SUM(E5:E104)=0,"",E101/SUM(E5:E104)))</f>
        <v/>
      </c>
      <c r="G101" s="13" t="n"/>
      <c r="H101" s="14">
        <f>IF(OR(G101="",G101=0),"",G101/SUM(G5:G104))</f>
        <v/>
      </c>
      <c r="I101" s="12" t="n"/>
    </row>
    <row r="102" ht="22" customHeight="1">
      <c r="B102" s="19">
        <f>IF(C102="","DIV-"&amp;TEXT(COUNTA($C$5:C102),"000"))</f>
        <v/>
      </c>
      <c r="C102" s="15" t="n"/>
      <c r="D102" s="15" t="n"/>
      <c r="E102" s="16" t="n"/>
      <c r="F102" s="17">
        <f>IF(E102="","",IF(SUM(E5:E104)=0,"",E102/SUM(E5:E104)))</f>
        <v/>
      </c>
      <c r="G102" s="16" t="n"/>
      <c r="H102" s="17">
        <f>IF(OR(G102="",G102=0),"",G102/SUM(G5:G104))</f>
        <v/>
      </c>
      <c r="I102" s="15" t="n"/>
    </row>
    <row r="103" ht="22" customHeight="1">
      <c r="B103" s="18">
        <f>IF(C103="","DIV-"&amp;TEXT(COUNTA($C$5:C103),"000"))</f>
        <v/>
      </c>
      <c r="C103" s="12" t="n"/>
      <c r="D103" s="12" t="n"/>
      <c r="E103" s="13" t="n"/>
      <c r="F103" s="14">
        <f>IF(E103="","",IF(SUM(E5:E104)=0,"",E103/SUM(E5:E104)))</f>
        <v/>
      </c>
      <c r="G103" s="13" t="n"/>
      <c r="H103" s="14">
        <f>IF(OR(G103="",G103=0),"",G103/SUM(G5:G104))</f>
        <v/>
      </c>
      <c r="I103" s="12" t="n"/>
    </row>
    <row r="104" ht="22" customHeight="1">
      <c r="B104" s="19">
        <f>IF(C104="","DIV-"&amp;TEXT(COUNTA($C$5:C104),"000"))</f>
        <v/>
      </c>
      <c r="C104" s="15" t="n"/>
      <c r="D104" s="15" t="n"/>
      <c r="E104" s="16" t="n"/>
      <c r="F104" s="17">
        <f>IF(E104="","",IF(SUM(E5:E104)=0,"",E104/SUM(E5:E104)))</f>
        <v/>
      </c>
      <c r="G104" s="16" t="n"/>
      <c r="H104" s="17">
        <f>IF(OR(G104="",G104=0),"",G104/SUM(G5:G104))</f>
        <v/>
      </c>
      <c r="I104" s="15" t="n"/>
    </row>
    <row r="105" ht="22" customHeight="1">
      <c r="B105" s="18">
        <f>IF(C105="","DIV-"&amp;TEXT(COUNTA($C$5:C105),"000"))</f>
        <v/>
      </c>
      <c r="C105" s="12" t="n"/>
      <c r="D105" s="12" t="n"/>
      <c r="E105" s="13" t="n"/>
      <c r="F105" s="14">
        <f>IF(E105="","",IF(SUM(E5:E104)=0,"",E105/SUM(E5:E104)))</f>
        <v/>
      </c>
      <c r="G105" s="13" t="n"/>
      <c r="H105" s="14">
        <f>IF(OR(G105="",G105=0),"",G105/SUM(G5:G104))</f>
        <v/>
      </c>
      <c r="I105" s="12" t="n"/>
    </row>
    <row r="106" ht="22" customHeight="1">
      <c r="B106" s="19">
        <f>IF(C106="","DIV-"&amp;TEXT(COUNTA($C$5:C106),"000"))</f>
        <v/>
      </c>
      <c r="C106" s="15" t="n"/>
      <c r="D106" s="15" t="n"/>
      <c r="E106" s="16" t="n"/>
      <c r="F106" s="17">
        <f>IF(E106="","",IF(SUM(E5:E104)=0,"",E106/SUM(E5:E104)))</f>
        <v/>
      </c>
      <c r="G106" s="16" t="n"/>
      <c r="H106" s="17">
        <f>IF(OR(G106="",G106=0),"",G106/SUM(G5:G104))</f>
        <v/>
      </c>
      <c r="I106" s="15" t="n"/>
    </row>
    <row r="107" ht="22" customHeight="1">
      <c r="B107" s="18">
        <f>IF(C107="","DIV-"&amp;TEXT(COUNTA($C$5:C107),"000"))</f>
        <v/>
      </c>
      <c r="C107" s="12" t="n"/>
      <c r="D107" s="12" t="n"/>
      <c r="E107" s="13" t="n"/>
      <c r="F107" s="14">
        <f>IF(E107="","",IF(SUM(E5:E104)=0,"",E107/SUM(E5:E104)))</f>
        <v/>
      </c>
      <c r="G107" s="13" t="n"/>
      <c r="H107" s="14">
        <f>IF(OR(G107="",G107=0),"",G107/SUM(G5:G104))</f>
        <v/>
      </c>
      <c r="I107" s="12" t="n"/>
    </row>
    <row r="108" ht="22" customHeight="1">
      <c r="B108" s="19">
        <f>IF(C108="","DIV-"&amp;TEXT(COUNTA($C$5:C108),"000"))</f>
        <v/>
      </c>
      <c r="C108" s="15" t="n"/>
      <c r="D108" s="15" t="n"/>
      <c r="E108" s="16" t="n"/>
      <c r="F108" s="17">
        <f>IF(E108="","",IF(SUM(E5:E104)=0,"",E108/SUM(E5:E104)))</f>
        <v/>
      </c>
      <c r="G108" s="16" t="n"/>
      <c r="H108" s="17">
        <f>IF(OR(G108="",G108=0),"",G108/SUM(G5:G104))</f>
        <v/>
      </c>
      <c r="I108" s="15" t="n"/>
    </row>
    <row r="109" ht="22" customHeight="1">
      <c r="B109" s="18">
        <f>IF(C109="","DIV-"&amp;TEXT(COUNTA($C$5:C109),"000"))</f>
        <v/>
      </c>
      <c r="C109" s="12" t="n"/>
      <c r="D109" s="12" t="n"/>
      <c r="E109" s="13" t="n"/>
      <c r="F109" s="14">
        <f>IF(E109="","",IF(SUM(E5:E104)=0,"",E109/SUM(E5:E104)))</f>
        <v/>
      </c>
      <c r="G109" s="13" t="n"/>
      <c r="H109" s="14">
        <f>IF(OR(G109="",G109=0),"",G109/SUM(G5:G104))</f>
        <v/>
      </c>
      <c r="I109" s="12" t="n"/>
    </row>
    <row r="110" ht="22" customHeight="1">
      <c r="B110" s="19">
        <f>IF(C110="","DIV-"&amp;TEXT(COUNTA($C$5:C110),"000"))</f>
        <v/>
      </c>
      <c r="C110" s="15" t="n"/>
      <c r="D110" s="15" t="n"/>
      <c r="E110" s="16" t="n"/>
      <c r="F110" s="17">
        <f>IF(E110="","",IF(SUM(E5:E104)=0,"",E110/SUM(E5:E104)))</f>
        <v/>
      </c>
      <c r="G110" s="16" t="n"/>
      <c r="H110" s="17">
        <f>IF(OR(G110="",G110=0),"",G110/SUM(G5:G104))</f>
        <v/>
      </c>
      <c r="I110" s="15" t="n"/>
    </row>
    <row r="111" ht="22" customHeight="1">
      <c r="B111" s="18">
        <f>IF(C111="","DIV-"&amp;TEXT(COUNTA($C$5:C111),"000"))</f>
        <v/>
      </c>
      <c r="C111" s="12" t="n"/>
      <c r="D111" s="12" t="n"/>
      <c r="E111" s="13" t="n"/>
      <c r="F111" s="14">
        <f>IF(E111="","",IF(SUM(E5:E104)=0,"",E111/SUM(E5:E104)))</f>
        <v/>
      </c>
      <c r="G111" s="13" t="n"/>
      <c r="H111" s="14">
        <f>IF(OR(G111="",G111=0),"",G111/SUM(G5:G104))</f>
        <v/>
      </c>
      <c r="I111" s="12" t="n"/>
    </row>
    <row r="112" ht="22" customHeight="1">
      <c r="B112" s="19">
        <f>IF(C112="","DIV-"&amp;TEXT(COUNTA($C$5:C112),"000"))</f>
        <v/>
      </c>
      <c r="C112" s="15" t="n"/>
      <c r="D112" s="15" t="n"/>
      <c r="E112" s="16" t="n"/>
      <c r="F112" s="17">
        <f>IF(E112="","",IF(SUM(E5:E104)=0,"",E112/SUM(E5:E104)))</f>
        <v/>
      </c>
      <c r="G112" s="16" t="n"/>
      <c r="H112" s="17">
        <f>IF(OR(G112="",G112=0),"",G112/SUM(G5:G104))</f>
        <v/>
      </c>
      <c r="I112" s="15" t="n"/>
    </row>
    <row r="113" ht="22" customHeight="1">
      <c r="B113" s="18">
        <f>IF(C113="","DIV-"&amp;TEXT(COUNTA($C$5:C113),"000"))</f>
        <v/>
      </c>
      <c r="C113" s="12" t="n"/>
      <c r="D113" s="12" t="n"/>
      <c r="E113" s="13" t="n"/>
      <c r="F113" s="14">
        <f>IF(E113="","",IF(SUM(E5:E104)=0,"",E113/SUM(E5:E104)))</f>
        <v/>
      </c>
      <c r="G113" s="13" t="n"/>
      <c r="H113" s="14">
        <f>IF(OR(G113="",G113=0),"",G113/SUM(G5:G104))</f>
        <v/>
      </c>
      <c r="I113" s="12" t="n"/>
    </row>
    <row r="114" ht="22" customHeight="1">
      <c r="B114" s="19">
        <f>IF(C114="","DIV-"&amp;TEXT(COUNTA($C$5:C114),"000"))</f>
        <v/>
      </c>
      <c r="C114" s="15" t="n"/>
      <c r="D114" s="15" t="n"/>
      <c r="E114" s="16" t="n"/>
      <c r="F114" s="17">
        <f>IF(E114="","",IF(SUM(E5:E104)=0,"",E114/SUM(E5:E104)))</f>
        <v/>
      </c>
      <c r="G114" s="16" t="n"/>
      <c r="H114" s="17">
        <f>IF(OR(G114="",G114=0),"",G114/SUM(G5:G104))</f>
        <v/>
      </c>
      <c r="I114" s="15" t="n"/>
    </row>
    <row r="115" ht="22" customHeight="1">
      <c r="B115" s="18">
        <f>IF(C115="","DIV-"&amp;TEXT(COUNTA($C$5:C115),"000"))</f>
        <v/>
      </c>
      <c r="C115" s="12" t="n"/>
      <c r="D115" s="12" t="n"/>
      <c r="E115" s="13" t="n"/>
      <c r="F115" s="14">
        <f>IF(E115="","",IF(SUM(E5:E104)=0,"",E115/SUM(E5:E104)))</f>
        <v/>
      </c>
      <c r="G115" s="13" t="n"/>
      <c r="H115" s="14">
        <f>IF(OR(G115="",G115=0),"",G115/SUM(G5:G104))</f>
        <v/>
      </c>
      <c r="I115" s="12" t="n"/>
    </row>
    <row r="116" ht="22" customHeight="1">
      <c r="B116" s="19">
        <f>IF(C116="","DIV-"&amp;TEXT(COUNTA($C$5:C116),"000"))</f>
        <v/>
      </c>
      <c r="C116" s="15" t="n"/>
      <c r="D116" s="15" t="n"/>
      <c r="E116" s="16" t="n"/>
      <c r="F116" s="17">
        <f>IF(E116="","",IF(SUM(E5:E104)=0,"",E116/SUM(E5:E104)))</f>
        <v/>
      </c>
      <c r="G116" s="16" t="n"/>
      <c r="H116" s="17">
        <f>IF(OR(G116="",G116=0),"",G116/SUM(G5:G104))</f>
        <v/>
      </c>
      <c r="I116" s="15" t="n"/>
    </row>
    <row r="118" ht="26" customHeight="1">
      <c r="B118" s="20" t="inlineStr">
        <is>
          <t>TOTAL</t>
        </is>
      </c>
      <c r="C118" s="21" t="n"/>
      <c r="D118" s="21" t="n"/>
      <c r="E118" s="22">
        <f>SUM(E5:E104)</f>
        <v/>
      </c>
      <c r="F118" s="21" t="n"/>
      <c r="G118" s="22">
        <f>SUM(G5:G104)</f>
        <v/>
      </c>
      <c r="H118" s="21" t="n"/>
      <c r="I118" s="21" t="n"/>
    </row>
    <row r="120">
      <c r="B120" s="6" t="inlineStr">
        <is>
          <t>INDICATEURS (mis a jour automatiquement)</t>
        </is>
      </c>
    </row>
    <row r="121">
      <c r="B121" s="3" t="inlineStr">
        <is>
          <t>Categories suivies</t>
        </is>
      </c>
      <c r="D121" s="3" t="inlineStr">
        <is>
          <t>Effectif total</t>
        </is>
      </c>
      <c r="F121" s="3" t="inlineStr">
        <is>
          <t>% etrangers</t>
        </is>
      </c>
    </row>
    <row r="122">
      <c r="B122" s="5">
        <f>COUNTIF(B5:B104,"&lt;&gt;")</f>
        <v/>
      </c>
      <c r="D122" s="5">
        <f>SUM(E5:E104)</f>
        <v/>
      </c>
      <c r="F122" s="5">
        <f>IFERROR(SUMIF(C5:C104,"Nationalite",E5:E104)/SUM(E5:E104),0)</f>
        <v/>
      </c>
    </row>
  </sheetData>
  <mergeCells count="3">
    <mergeCell ref="B3:I3"/>
    <mergeCell ref="B2:I2"/>
    <mergeCell ref="B120:I120"/>
  </mergeCells>
  <conditionalFormatting sqref="B17:B116">
    <cfRule type="expression" priority="1" dxfId="0">
      <formula>AND($C17="",$C16&lt;&gt;"")</formula>
    </cfRule>
  </conditionalFormatting>
  <conditionalFormatting sqref="C17:C116">
    <cfRule type="expression" priority="2" dxfId="0">
      <formula>AND($C17="",$C16&lt;&gt;"")</formula>
    </cfRule>
  </conditionalFormatting>
  <conditionalFormatting sqref="D17:D116">
    <cfRule type="expression" priority="3" dxfId="0">
      <formula>AND($C17="",$C16&lt;&gt;"")</formula>
    </cfRule>
  </conditionalFormatting>
  <conditionalFormatting sqref="E17:E116">
    <cfRule type="expression" priority="4" dxfId="0">
      <formula>AND($C17="",$C16&lt;&gt;"")</formula>
    </cfRule>
  </conditionalFormatting>
  <conditionalFormatting sqref="F17:F116">
    <cfRule type="expression" priority="5" dxfId="0">
      <formula>AND($C17="",$C16&lt;&gt;"")</formula>
    </cfRule>
  </conditionalFormatting>
  <conditionalFormatting sqref="G17:G116">
    <cfRule type="expression" priority="6" dxfId="0">
      <formula>AND($C17="",$C16&lt;&gt;"")</formula>
    </cfRule>
  </conditionalFormatting>
  <conditionalFormatting sqref="H17:H116">
    <cfRule type="expression" priority="7" dxfId="0">
      <formula>AND($C17="",$C16&lt;&gt;"")</formula>
    </cfRule>
  </conditionalFormatting>
  <conditionalFormatting sqref="I17:I116">
    <cfRule type="expression" priority="8" dxfId="0">
      <formula>AND($C17="",$C16&lt;&gt;"")</formula>
    </cfRule>
  </conditionalFormatting>
  <conditionalFormatting sqref="F5:F104">
    <cfRule type="dataBar" priority="9">
      <dataBar>
        <cfvo type="num" val="0"/>
        <cfvo type="num" val="1"/>
        <color rgb="00ED7D31"/>
      </dataBar>
    </cfRule>
  </conditionalFormatting>
  <conditionalFormatting sqref="H5:H104">
    <cfRule type="dataBar" priority="9">
      <dataBar>
        <cfvo type="num" val="0"/>
        <cfvo type="num" val="1"/>
        <color rgb="00ED7D31"/>
      </dataBar>
    </cfRule>
  </conditionalFormatting>
  <dataValidations count="1">
    <dataValidation sqref="C5:C122" showDropDown="0" showInputMessage="0" showErrorMessage="0" allowBlank="1" errorTitle="Valeur invalide" error="Veuillez choisir dans la liste: criteres_diversite" promptTitle="criteres_diversite" prompt="Choisir: criteres_diversite" type="list">
      <formula1>'_Lists'!$N$2:$N$50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2" customWidth="1" min="4" max="4"/>
    <col width="22" customWidth="1" min="5" max="5"/>
    <col width="24" customWidth="1" min="6" max="6"/>
    <col width="16" customWidth="1" min="7" max="7"/>
    <col width="12" customWidth="1" min="8" max="8"/>
    <col width="16" customWidth="1" min="9" max="9"/>
    <col width="22" customWidth="1" min="10" max="10"/>
    <col width="14" customWidth="1" min="11" max="11"/>
    <col width="14" customWidth="1" min="12" max="12"/>
  </cols>
  <sheetData>
    <row r="1" ht="15" customHeight="1"/>
    <row r="2" ht="32" customHeight="1">
      <c r="B2" s="1" t="inlineStr">
        <is>
          <t>PLAN D'ACTION DIVERSITE &amp; INCLUSION (#158)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</t>
        </is>
      </c>
      <c r="D4" s="11" t="inlineStr">
        <is>
          <t>Objectif Diversite</t>
        </is>
      </c>
      <c r="E4" s="11" t="inlineStr">
        <is>
          <t>Cible</t>
        </is>
      </c>
      <c r="F4" s="11" t="inlineStr">
        <is>
          <t>Indicateur de Succes</t>
        </is>
      </c>
      <c r="G4" s="11" t="inlineStr">
        <is>
          <t>Valeur Initiale</t>
        </is>
      </c>
      <c r="H4" s="11" t="inlineStr">
        <is>
          <t>Objectif</t>
        </is>
      </c>
      <c r="I4" s="11" t="inlineStr">
        <is>
          <t>Budget (FCFA)</t>
        </is>
      </c>
      <c r="J4" s="11" t="inlineStr">
        <is>
          <t>Responsable</t>
        </is>
      </c>
      <c r="K4" s="11" t="inlineStr">
        <is>
          <t>Echeance</t>
        </is>
      </c>
      <c r="L4" s="11" t="inlineStr">
        <is>
          <t>Statut</t>
        </is>
      </c>
    </row>
    <row r="5" ht="22" customHeight="1">
      <c r="B5" s="12" t="inlineStr">
        <is>
          <t>PAD-001</t>
        </is>
      </c>
      <c r="C5" s="12" t="inlineStr">
        <is>
          <t>Recrutement femmes securite</t>
        </is>
      </c>
      <c r="D5" s="12" t="inlineStr">
        <is>
          <t>Parite H/F</t>
        </is>
      </c>
      <c r="E5" s="12" t="inlineStr">
        <is>
          <t>Service Sécurité</t>
        </is>
      </c>
      <c r="F5" s="12" t="inlineStr">
        <is>
          <t>% femmes securite</t>
        </is>
      </c>
      <c r="G5" s="12" t="n">
        <v>0</v>
      </c>
      <c r="H5" s="12" t="n">
        <v>0.25</v>
      </c>
      <c r="I5" s="24" t="n">
        <v>50000</v>
      </c>
      <c r="J5" s="12" t="inlineStr">
        <is>
          <t>DRH + Chef Sécurité</t>
        </is>
      </c>
      <c r="K5" s="27" t="n">
        <v>46022</v>
      </c>
      <c r="L5" s="12" t="inlineStr">
        <is>
          <t>En cours</t>
        </is>
      </c>
    </row>
    <row r="6" ht="22" customHeight="1">
      <c r="B6" s="15" t="inlineStr">
        <is>
          <t>PAD-002</t>
        </is>
      </c>
      <c r="C6" s="15" t="inlineStr">
        <is>
          <t>Amenagement postes handicapes</t>
        </is>
      </c>
      <c r="D6" s="15" t="inlineStr">
        <is>
          <t>Inclusion handicap</t>
        </is>
      </c>
      <c r="E6" s="15" t="inlineStr">
        <is>
          <t>Tous services</t>
        </is>
      </c>
      <c r="F6" s="15" t="inlineStr">
        <is>
          <t>Nb postes amenages</t>
        </is>
      </c>
      <c r="G6" s="15" t="n">
        <v>3</v>
      </c>
      <c r="H6" s="15" t="n">
        <v>6</v>
      </c>
      <c r="I6" s="26" t="n">
        <v>300000</v>
      </c>
      <c r="J6" s="15" t="inlineStr">
        <is>
          <t>DRH + Chef Entretien</t>
        </is>
      </c>
      <c r="K6" s="28" t="n">
        <v>46203</v>
      </c>
      <c r="L6" s="15" t="inlineStr">
        <is>
          <t>En cours</t>
        </is>
      </c>
    </row>
    <row r="7" ht="22" customHeight="1">
      <c r="B7" s="12" t="inlineStr">
        <is>
          <t>PAD-003</t>
        </is>
      </c>
      <c r="C7" s="12" t="inlineStr">
        <is>
          <t>Formation sensibilisation diversite</t>
        </is>
      </c>
      <c r="D7" s="12" t="inlineStr">
        <is>
          <t>Diversite culturelle</t>
        </is>
      </c>
      <c r="E7" s="12" t="inlineStr">
        <is>
          <t>Cadres et managers</t>
        </is>
      </c>
      <c r="F7" s="12" t="inlineStr">
        <is>
          <t>Nb personnes formees</t>
        </is>
      </c>
      <c r="G7" s="12" t="n">
        <v>0</v>
      </c>
      <c r="H7" s="12" t="n">
        <v>30</v>
      </c>
      <c r="I7" s="24" t="n">
        <v>200000</v>
      </c>
      <c r="J7" s="12" t="inlineStr">
        <is>
          <t>DRH</t>
        </is>
      </c>
      <c r="K7" s="27" t="n">
        <v>45930</v>
      </c>
      <c r="L7" s="12" t="inlineStr">
        <is>
          <t>Planifiee</t>
        </is>
      </c>
    </row>
    <row r="8" ht="22" customHeight="1">
      <c r="B8" s="15" t="inlineStr">
        <is>
          <t>PAD-004</t>
        </is>
      </c>
      <c r="C8" s="15" t="inlineStr">
        <is>
          <t>Audit salarial par genre</t>
        </is>
      </c>
      <c r="D8" s="15" t="inlineStr">
        <is>
          <t>Equite salariale</t>
        </is>
      </c>
      <c r="E8" s="15" t="inlineStr">
        <is>
          <t>Tous services</t>
        </is>
      </c>
      <c r="F8" s="15" t="inlineStr">
        <is>
          <t>Ecart salarial H/F (%)</t>
        </is>
      </c>
      <c r="G8" s="15" t="n">
        <v>0.15</v>
      </c>
      <c r="H8" s="15" t="n">
        <v>0.05</v>
      </c>
      <c r="I8" s="26" t="n">
        <v>150000</v>
      </c>
      <c r="J8" s="15" t="inlineStr">
        <is>
          <t>DRH + DAF</t>
        </is>
      </c>
      <c r="K8" s="28" t="n">
        <v>45961</v>
      </c>
      <c r="L8" s="15" t="inlineStr">
        <is>
          <t>Planifiee</t>
        </is>
      </c>
    </row>
    <row r="9" ht="22" customHeight="1">
      <c r="B9" s="12" t="inlineStr">
        <is>
          <t>PAD-005</t>
        </is>
      </c>
      <c r="C9" s="12" t="inlineStr">
        <is>
          <t>Programme tutorat jeunes</t>
        </is>
      </c>
      <c r="D9" s="12" t="inlineStr">
        <is>
          <t>Diversite d'age</t>
        </is>
      </c>
      <c r="E9" s="12" t="inlineStr">
        <is>
          <t>18-25 ans</t>
        </is>
      </c>
      <c r="F9" s="12" t="inlineStr">
        <is>
          <t>Nb jeunes encadres</t>
        </is>
      </c>
      <c r="G9" s="12" t="n">
        <v>0</v>
      </c>
      <c r="H9" s="12" t="n">
        <v>10</v>
      </c>
      <c r="I9" s="24" t="n">
        <v>100000</v>
      </c>
      <c r="J9" s="12" t="inlineStr">
        <is>
          <t>DRH</t>
        </is>
      </c>
      <c r="K9" s="27" t="n">
        <v>46112</v>
      </c>
      <c r="L9" s="12" t="inlineStr">
        <is>
          <t>En cours</t>
        </is>
      </c>
    </row>
    <row r="10" ht="22" customHeight="1">
      <c r="B10" s="19">
        <f>IF(C10="","PAD-"&amp;TEXT(COUNTA($C$5:C10),"000"))</f>
        <v/>
      </c>
      <c r="C10" s="15" t="n"/>
      <c r="D10" s="15" t="n"/>
      <c r="E10" s="15" t="n"/>
      <c r="F10" s="15" t="n"/>
      <c r="G10" s="15" t="n"/>
      <c r="H10" s="15" t="n"/>
      <c r="I10" s="26" t="n"/>
      <c r="J10" s="15" t="n"/>
      <c r="K10" s="28" t="n"/>
      <c r="L10" s="15" t="n"/>
    </row>
    <row r="11" ht="22" customHeight="1">
      <c r="B11" s="18">
        <f>IF(C11="","PAD-"&amp;TEXT(COUNTA($C$5:C11),"000"))</f>
        <v/>
      </c>
      <c r="C11" s="12" t="n"/>
      <c r="D11" s="12" t="n"/>
      <c r="E11" s="12" t="n"/>
      <c r="F11" s="12" t="n"/>
      <c r="G11" s="12" t="n"/>
      <c r="H11" s="12" t="n"/>
      <c r="I11" s="24" t="n"/>
      <c r="J11" s="12" t="n"/>
      <c r="K11" s="27" t="n"/>
      <c r="L11" s="12" t="n"/>
    </row>
    <row r="12" ht="22" customHeight="1">
      <c r="B12" s="19">
        <f>IF(C12="","PAD-"&amp;TEXT(COUNTA($C$5:C12),"000"))</f>
        <v/>
      </c>
      <c r="C12" s="15" t="n"/>
      <c r="D12" s="15" t="n"/>
      <c r="E12" s="15" t="n"/>
      <c r="F12" s="15" t="n"/>
      <c r="G12" s="15" t="n"/>
      <c r="H12" s="15" t="n"/>
      <c r="I12" s="26" t="n"/>
      <c r="J12" s="15" t="n"/>
      <c r="K12" s="28" t="n"/>
      <c r="L12" s="15" t="n"/>
    </row>
    <row r="13" ht="22" customHeight="1">
      <c r="B13" s="18">
        <f>IF(C13="","PAD-"&amp;TEXT(COUNTA($C$5:C13),"000"))</f>
        <v/>
      </c>
      <c r="C13" s="12" t="n"/>
      <c r="D13" s="12" t="n"/>
      <c r="E13" s="12" t="n"/>
      <c r="F13" s="12" t="n"/>
      <c r="G13" s="12" t="n"/>
      <c r="H13" s="12" t="n"/>
      <c r="I13" s="24" t="n"/>
      <c r="J13" s="12" t="n"/>
      <c r="K13" s="27" t="n"/>
      <c r="L13" s="12" t="n"/>
    </row>
    <row r="14" ht="22" customHeight="1">
      <c r="B14" s="19">
        <f>IF(C14="","PAD-"&amp;TEXT(COUNTA($C$5:C14),"000"))</f>
        <v/>
      </c>
      <c r="C14" s="15" t="n"/>
      <c r="D14" s="15" t="n"/>
      <c r="E14" s="15" t="n"/>
      <c r="F14" s="15" t="n"/>
      <c r="G14" s="15" t="n"/>
      <c r="H14" s="15" t="n"/>
      <c r="I14" s="26" t="n"/>
      <c r="J14" s="15" t="n"/>
      <c r="K14" s="28" t="n"/>
      <c r="L14" s="15" t="n"/>
    </row>
    <row r="15" ht="22" customHeight="1">
      <c r="B15" s="18">
        <f>IF(C15="","PAD-"&amp;TEXT(COUNTA($C$5:C15),"000"))</f>
        <v/>
      </c>
      <c r="C15" s="12" t="n"/>
      <c r="D15" s="12" t="n"/>
      <c r="E15" s="12" t="n"/>
      <c r="F15" s="12" t="n"/>
      <c r="G15" s="12" t="n"/>
      <c r="H15" s="12" t="n"/>
      <c r="I15" s="24" t="n"/>
      <c r="J15" s="12" t="n"/>
      <c r="K15" s="27" t="n"/>
      <c r="L15" s="12" t="n"/>
    </row>
    <row r="16" ht="22" customHeight="1">
      <c r="B16" s="19">
        <f>IF(C16="","PAD-"&amp;TEXT(COUNTA($C$5:C16),"000"))</f>
        <v/>
      </c>
      <c r="C16" s="15" t="n"/>
      <c r="D16" s="15" t="n"/>
      <c r="E16" s="15" t="n"/>
      <c r="F16" s="15" t="n"/>
      <c r="G16" s="15" t="n"/>
      <c r="H16" s="15" t="n"/>
      <c r="I16" s="26" t="n"/>
      <c r="J16" s="15" t="n"/>
      <c r="K16" s="28" t="n"/>
      <c r="L16" s="15" t="n"/>
    </row>
    <row r="17" ht="22" customHeight="1">
      <c r="B17" s="18">
        <f>IF(C17="","PAD-"&amp;TEXT(COUNTA($C$5:C17),"000"))</f>
        <v/>
      </c>
      <c r="C17" s="12" t="n"/>
      <c r="D17" s="12" t="n"/>
      <c r="E17" s="12" t="n"/>
      <c r="F17" s="12" t="n"/>
      <c r="G17" s="12" t="n"/>
      <c r="H17" s="12" t="n"/>
      <c r="I17" s="24" t="n"/>
      <c r="J17" s="12" t="n"/>
      <c r="K17" s="27" t="n"/>
      <c r="L17" s="12" t="n"/>
    </row>
    <row r="18" ht="22" customHeight="1">
      <c r="B18" s="19">
        <f>IF(C18="","PAD-"&amp;TEXT(COUNTA($C$5:C18),"000"))</f>
        <v/>
      </c>
      <c r="C18" s="15" t="n"/>
      <c r="D18" s="15" t="n"/>
      <c r="E18" s="15" t="n"/>
      <c r="F18" s="15" t="n"/>
      <c r="G18" s="15" t="n"/>
      <c r="H18" s="15" t="n"/>
      <c r="I18" s="26" t="n"/>
      <c r="J18" s="15" t="n"/>
      <c r="K18" s="28" t="n"/>
      <c r="L18" s="15" t="n"/>
    </row>
    <row r="19" ht="22" customHeight="1">
      <c r="B19" s="18">
        <f>IF(C19="","PAD-"&amp;TEXT(COUNTA($C$5:C19),"000"))</f>
        <v/>
      </c>
      <c r="C19" s="12" t="n"/>
      <c r="D19" s="12" t="n"/>
      <c r="E19" s="12" t="n"/>
      <c r="F19" s="12" t="n"/>
      <c r="G19" s="12" t="n"/>
      <c r="H19" s="12" t="n"/>
      <c r="I19" s="24" t="n"/>
      <c r="J19" s="12" t="n"/>
      <c r="K19" s="27" t="n"/>
      <c r="L19" s="12" t="n"/>
    </row>
    <row r="20" ht="22" customHeight="1">
      <c r="B20" s="19">
        <f>IF(C20="","PAD-"&amp;TEXT(COUNTA($C$5:C20),"000"))</f>
        <v/>
      </c>
      <c r="C20" s="15" t="n"/>
      <c r="D20" s="15" t="n"/>
      <c r="E20" s="15" t="n"/>
      <c r="F20" s="15" t="n"/>
      <c r="G20" s="15" t="n"/>
      <c r="H20" s="15" t="n"/>
      <c r="I20" s="26" t="n"/>
      <c r="J20" s="15" t="n"/>
      <c r="K20" s="28" t="n"/>
      <c r="L20" s="15" t="n"/>
    </row>
    <row r="21" ht="22" customHeight="1">
      <c r="B21" s="18">
        <f>IF(C21="","PAD-"&amp;TEXT(COUNTA($C$5:C21),"000"))</f>
        <v/>
      </c>
      <c r="C21" s="12" t="n"/>
      <c r="D21" s="12" t="n"/>
      <c r="E21" s="12" t="n"/>
      <c r="F21" s="12" t="n"/>
      <c r="G21" s="12" t="n"/>
      <c r="H21" s="12" t="n"/>
      <c r="I21" s="24" t="n"/>
      <c r="J21" s="12" t="n"/>
      <c r="K21" s="27" t="n"/>
      <c r="L21" s="12" t="n"/>
    </row>
    <row r="22" ht="22" customHeight="1">
      <c r="B22" s="19">
        <f>IF(C22="","PAD-"&amp;TEXT(COUNTA($C$5:C22),"000"))</f>
        <v/>
      </c>
      <c r="C22" s="15" t="n"/>
      <c r="D22" s="15" t="n"/>
      <c r="E22" s="15" t="n"/>
      <c r="F22" s="15" t="n"/>
      <c r="G22" s="15" t="n"/>
      <c r="H22" s="15" t="n"/>
      <c r="I22" s="26" t="n"/>
      <c r="J22" s="15" t="n"/>
      <c r="K22" s="28" t="n"/>
      <c r="L22" s="15" t="n"/>
    </row>
    <row r="23" ht="22" customHeight="1">
      <c r="B23" s="18">
        <f>IF(C23="","PAD-"&amp;TEXT(COUNTA($C$5:C23),"000"))</f>
        <v/>
      </c>
      <c r="C23" s="12" t="n"/>
      <c r="D23" s="12" t="n"/>
      <c r="E23" s="12" t="n"/>
      <c r="F23" s="12" t="n"/>
      <c r="G23" s="12" t="n"/>
      <c r="H23" s="12" t="n"/>
      <c r="I23" s="24" t="n"/>
      <c r="J23" s="12" t="n"/>
      <c r="K23" s="27" t="n"/>
      <c r="L23" s="12" t="n"/>
    </row>
    <row r="24" ht="22" customHeight="1">
      <c r="B24" s="19">
        <f>IF(C24="","PAD-"&amp;TEXT(COUNTA($C$5:C24),"000"))</f>
        <v/>
      </c>
      <c r="C24" s="15" t="n"/>
      <c r="D24" s="15" t="n"/>
      <c r="E24" s="15" t="n"/>
      <c r="F24" s="15" t="n"/>
      <c r="G24" s="15" t="n"/>
      <c r="H24" s="15" t="n"/>
      <c r="I24" s="26" t="n"/>
      <c r="J24" s="15" t="n"/>
      <c r="K24" s="28" t="n"/>
      <c r="L24" s="15" t="n"/>
    </row>
    <row r="25" ht="22" customHeight="1">
      <c r="B25" s="18">
        <f>IF(C25="","PAD-"&amp;TEXT(COUNTA($C$5:C25),"000"))</f>
        <v/>
      </c>
      <c r="C25" s="12" t="n"/>
      <c r="D25" s="12" t="n"/>
      <c r="E25" s="12" t="n"/>
      <c r="F25" s="12" t="n"/>
      <c r="G25" s="12" t="n"/>
      <c r="H25" s="12" t="n"/>
      <c r="I25" s="24" t="n"/>
      <c r="J25" s="12" t="n"/>
      <c r="K25" s="27" t="n"/>
      <c r="L25" s="12" t="n"/>
    </row>
    <row r="26" ht="22" customHeight="1">
      <c r="B26" s="19">
        <f>IF(C26="","PAD-"&amp;TEXT(COUNTA($C$5:C26),"000"))</f>
        <v/>
      </c>
      <c r="C26" s="15" t="n"/>
      <c r="D26" s="15" t="n"/>
      <c r="E26" s="15" t="n"/>
      <c r="F26" s="15" t="n"/>
      <c r="G26" s="15" t="n"/>
      <c r="H26" s="15" t="n"/>
      <c r="I26" s="26" t="n"/>
      <c r="J26" s="15" t="n"/>
      <c r="K26" s="28" t="n"/>
      <c r="L26" s="15" t="n"/>
    </row>
    <row r="27" ht="22" customHeight="1">
      <c r="B27" s="18">
        <f>IF(C27="","PAD-"&amp;TEXT(COUNTA($C$5:C27),"000"))</f>
        <v/>
      </c>
      <c r="C27" s="12" t="n"/>
      <c r="D27" s="12" t="n"/>
      <c r="E27" s="12" t="n"/>
      <c r="F27" s="12" t="n"/>
      <c r="G27" s="12" t="n"/>
      <c r="H27" s="12" t="n"/>
      <c r="I27" s="24" t="n"/>
      <c r="J27" s="12" t="n"/>
      <c r="K27" s="27" t="n"/>
      <c r="L27" s="12" t="n"/>
    </row>
    <row r="28" ht="22" customHeight="1">
      <c r="B28" s="19">
        <f>IF(C28="","PAD-"&amp;TEXT(COUNTA($C$5:C28),"000"))</f>
        <v/>
      </c>
      <c r="C28" s="15" t="n"/>
      <c r="D28" s="15" t="n"/>
      <c r="E28" s="15" t="n"/>
      <c r="F28" s="15" t="n"/>
      <c r="G28" s="15" t="n"/>
      <c r="H28" s="15" t="n"/>
      <c r="I28" s="26" t="n"/>
      <c r="J28" s="15" t="n"/>
      <c r="K28" s="28" t="n"/>
      <c r="L28" s="15" t="n"/>
    </row>
    <row r="29" ht="22" customHeight="1">
      <c r="B29" s="18">
        <f>IF(C29="","PAD-"&amp;TEXT(COUNTA($C$5:C29),"000"))</f>
        <v/>
      </c>
      <c r="C29" s="12" t="n"/>
      <c r="D29" s="12" t="n"/>
      <c r="E29" s="12" t="n"/>
      <c r="F29" s="12" t="n"/>
      <c r="G29" s="12" t="n"/>
      <c r="H29" s="12" t="n"/>
      <c r="I29" s="24" t="n"/>
      <c r="J29" s="12" t="n"/>
      <c r="K29" s="27" t="n"/>
      <c r="L29" s="12" t="n"/>
    </row>
    <row r="30" ht="22" customHeight="1">
      <c r="B30" s="19">
        <f>IF(C30="","PAD-"&amp;TEXT(COUNTA($C$5:C30),"000"))</f>
        <v/>
      </c>
      <c r="C30" s="15" t="n"/>
      <c r="D30" s="15" t="n"/>
      <c r="E30" s="15" t="n"/>
      <c r="F30" s="15" t="n"/>
      <c r="G30" s="15" t="n"/>
      <c r="H30" s="15" t="n"/>
      <c r="I30" s="26" t="n"/>
      <c r="J30" s="15" t="n"/>
      <c r="K30" s="28" t="n"/>
      <c r="L30" s="15" t="n"/>
    </row>
    <row r="31" ht="22" customHeight="1">
      <c r="B31" s="18">
        <f>IF(C31="","PAD-"&amp;TEXT(COUNTA($C$5:C31),"000"))</f>
        <v/>
      </c>
      <c r="C31" s="12" t="n"/>
      <c r="D31" s="12" t="n"/>
      <c r="E31" s="12" t="n"/>
      <c r="F31" s="12" t="n"/>
      <c r="G31" s="12" t="n"/>
      <c r="H31" s="12" t="n"/>
      <c r="I31" s="24" t="n"/>
      <c r="J31" s="12" t="n"/>
      <c r="K31" s="27" t="n"/>
      <c r="L31" s="12" t="n"/>
    </row>
    <row r="32" ht="22" customHeight="1">
      <c r="B32" s="19">
        <f>IF(C32="","PAD-"&amp;TEXT(COUNTA($C$5:C32),"000"))</f>
        <v/>
      </c>
      <c r="C32" s="15" t="n"/>
      <c r="D32" s="15" t="n"/>
      <c r="E32" s="15" t="n"/>
      <c r="F32" s="15" t="n"/>
      <c r="G32" s="15" t="n"/>
      <c r="H32" s="15" t="n"/>
      <c r="I32" s="26" t="n"/>
      <c r="J32" s="15" t="n"/>
      <c r="K32" s="28" t="n"/>
      <c r="L32" s="15" t="n"/>
    </row>
    <row r="33" ht="22" customHeight="1">
      <c r="B33" s="18">
        <f>IF(C33="","PAD-"&amp;TEXT(COUNTA($C$5:C33),"000"))</f>
        <v/>
      </c>
      <c r="C33" s="12" t="n"/>
      <c r="D33" s="12" t="n"/>
      <c r="E33" s="12" t="n"/>
      <c r="F33" s="12" t="n"/>
      <c r="G33" s="12" t="n"/>
      <c r="H33" s="12" t="n"/>
      <c r="I33" s="24" t="n"/>
      <c r="J33" s="12" t="n"/>
      <c r="K33" s="27" t="n"/>
      <c r="L33" s="12" t="n"/>
    </row>
    <row r="34" ht="22" customHeight="1">
      <c r="B34" s="19">
        <f>IF(C34="","PAD-"&amp;TEXT(COUNTA($C$5:C34),"000"))</f>
        <v/>
      </c>
      <c r="C34" s="15" t="n"/>
      <c r="D34" s="15" t="n"/>
      <c r="E34" s="15" t="n"/>
      <c r="F34" s="15" t="n"/>
      <c r="G34" s="15" t="n"/>
      <c r="H34" s="15" t="n"/>
      <c r="I34" s="26" t="n"/>
      <c r="J34" s="15" t="n"/>
      <c r="K34" s="28" t="n"/>
      <c r="L34" s="15" t="n"/>
    </row>
    <row r="35" ht="22" customHeight="1">
      <c r="B35" s="18">
        <f>IF(C35="","PAD-"&amp;TEXT(COUNTA($C$5:C35),"000"))</f>
        <v/>
      </c>
      <c r="C35" s="12" t="n"/>
      <c r="D35" s="12" t="n"/>
      <c r="E35" s="12" t="n"/>
      <c r="F35" s="12" t="n"/>
      <c r="G35" s="12" t="n"/>
      <c r="H35" s="12" t="n"/>
      <c r="I35" s="24" t="n"/>
      <c r="J35" s="12" t="n"/>
      <c r="K35" s="27" t="n"/>
      <c r="L35" s="12" t="n"/>
    </row>
    <row r="36" ht="22" customHeight="1">
      <c r="B36" s="19">
        <f>IF(C36="","PAD-"&amp;TEXT(COUNTA($C$5:C36),"000"))</f>
        <v/>
      </c>
      <c r="C36" s="15" t="n"/>
      <c r="D36" s="15" t="n"/>
      <c r="E36" s="15" t="n"/>
      <c r="F36" s="15" t="n"/>
      <c r="G36" s="15" t="n"/>
      <c r="H36" s="15" t="n"/>
      <c r="I36" s="26" t="n"/>
      <c r="J36" s="15" t="n"/>
      <c r="K36" s="28" t="n"/>
      <c r="L36" s="15" t="n"/>
    </row>
    <row r="37" ht="22" customHeight="1">
      <c r="B37" s="18">
        <f>IF(C37="","PAD-"&amp;TEXT(COUNTA($C$5:C37),"000"))</f>
        <v/>
      </c>
      <c r="C37" s="12" t="n"/>
      <c r="D37" s="12" t="n"/>
      <c r="E37" s="12" t="n"/>
      <c r="F37" s="12" t="n"/>
      <c r="G37" s="12" t="n"/>
      <c r="H37" s="12" t="n"/>
      <c r="I37" s="24" t="n"/>
      <c r="J37" s="12" t="n"/>
      <c r="K37" s="27" t="n"/>
      <c r="L37" s="12" t="n"/>
    </row>
    <row r="38" ht="22" customHeight="1">
      <c r="B38" s="19">
        <f>IF(C38="","PAD-"&amp;TEXT(COUNTA($C$5:C38),"000"))</f>
        <v/>
      </c>
      <c r="C38" s="15" t="n"/>
      <c r="D38" s="15" t="n"/>
      <c r="E38" s="15" t="n"/>
      <c r="F38" s="15" t="n"/>
      <c r="G38" s="15" t="n"/>
      <c r="H38" s="15" t="n"/>
      <c r="I38" s="26" t="n"/>
      <c r="J38" s="15" t="n"/>
      <c r="K38" s="28" t="n"/>
      <c r="L38" s="15" t="n"/>
    </row>
    <row r="39" ht="22" customHeight="1">
      <c r="B39" s="18">
        <f>IF(C39="","PAD-"&amp;TEXT(COUNTA($C$5:C39),"000"))</f>
        <v/>
      </c>
      <c r="C39" s="12" t="n"/>
      <c r="D39" s="12" t="n"/>
      <c r="E39" s="12" t="n"/>
      <c r="F39" s="12" t="n"/>
      <c r="G39" s="12" t="n"/>
      <c r="H39" s="12" t="n"/>
      <c r="I39" s="24" t="n"/>
      <c r="J39" s="12" t="n"/>
      <c r="K39" s="27" t="n"/>
      <c r="L39" s="12" t="n"/>
    </row>
    <row r="40" ht="22" customHeight="1">
      <c r="B40" s="19">
        <f>IF(C40="","PAD-"&amp;TEXT(COUNTA($C$5:C40),"000"))</f>
        <v/>
      </c>
      <c r="C40" s="15" t="n"/>
      <c r="D40" s="15" t="n"/>
      <c r="E40" s="15" t="n"/>
      <c r="F40" s="15" t="n"/>
      <c r="G40" s="15" t="n"/>
      <c r="H40" s="15" t="n"/>
      <c r="I40" s="26" t="n"/>
      <c r="J40" s="15" t="n"/>
      <c r="K40" s="28" t="n"/>
      <c r="L40" s="15" t="n"/>
    </row>
    <row r="41" ht="22" customHeight="1">
      <c r="B41" s="18">
        <f>IF(C41="","PAD-"&amp;TEXT(COUNTA($C$5:C41),"000"))</f>
        <v/>
      </c>
      <c r="C41" s="12" t="n"/>
      <c r="D41" s="12" t="n"/>
      <c r="E41" s="12" t="n"/>
      <c r="F41" s="12" t="n"/>
      <c r="G41" s="12" t="n"/>
      <c r="H41" s="12" t="n"/>
      <c r="I41" s="24" t="n"/>
      <c r="J41" s="12" t="n"/>
      <c r="K41" s="27" t="n"/>
      <c r="L41" s="12" t="n"/>
    </row>
    <row r="42" ht="22" customHeight="1">
      <c r="B42" s="19">
        <f>IF(C42="","PAD-"&amp;TEXT(COUNTA($C$5:C42),"000"))</f>
        <v/>
      </c>
      <c r="C42" s="15" t="n"/>
      <c r="D42" s="15" t="n"/>
      <c r="E42" s="15" t="n"/>
      <c r="F42" s="15" t="n"/>
      <c r="G42" s="15" t="n"/>
      <c r="H42" s="15" t="n"/>
      <c r="I42" s="26" t="n"/>
      <c r="J42" s="15" t="n"/>
      <c r="K42" s="28" t="n"/>
      <c r="L42" s="15" t="n"/>
    </row>
    <row r="43" ht="22" customHeight="1">
      <c r="B43" s="18">
        <f>IF(C43="","PAD-"&amp;TEXT(COUNTA($C$5:C43),"000"))</f>
        <v/>
      </c>
      <c r="C43" s="12" t="n"/>
      <c r="D43" s="12" t="n"/>
      <c r="E43" s="12" t="n"/>
      <c r="F43" s="12" t="n"/>
      <c r="G43" s="12" t="n"/>
      <c r="H43" s="12" t="n"/>
      <c r="I43" s="24" t="n"/>
      <c r="J43" s="12" t="n"/>
      <c r="K43" s="27" t="n"/>
      <c r="L43" s="12" t="n"/>
    </row>
    <row r="44" ht="22" customHeight="1">
      <c r="B44" s="19">
        <f>IF(C44="","PAD-"&amp;TEXT(COUNTA($C$5:C44),"000"))</f>
        <v/>
      </c>
      <c r="C44" s="15" t="n"/>
      <c r="D44" s="15" t="n"/>
      <c r="E44" s="15" t="n"/>
      <c r="F44" s="15" t="n"/>
      <c r="G44" s="15" t="n"/>
      <c r="H44" s="15" t="n"/>
      <c r="I44" s="26" t="n"/>
      <c r="J44" s="15" t="n"/>
      <c r="K44" s="28" t="n"/>
      <c r="L44" s="15" t="n"/>
    </row>
    <row r="45" ht="22" customHeight="1">
      <c r="B45" s="18">
        <f>IF(C45="","PAD-"&amp;TEXT(COUNTA($C$5:C45),"000"))</f>
        <v/>
      </c>
      <c r="C45" s="12" t="n"/>
      <c r="D45" s="12" t="n"/>
      <c r="E45" s="12" t="n"/>
      <c r="F45" s="12" t="n"/>
      <c r="G45" s="12" t="n"/>
      <c r="H45" s="12" t="n"/>
      <c r="I45" s="24" t="n"/>
      <c r="J45" s="12" t="n"/>
      <c r="K45" s="27" t="n"/>
      <c r="L45" s="12" t="n"/>
    </row>
    <row r="46" ht="22" customHeight="1">
      <c r="B46" s="19">
        <f>IF(C46="","PAD-"&amp;TEXT(COUNTA($C$5:C46),"000"))</f>
        <v/>
      </c>
      <c r="C46" s="15" t="n"/>
      <c r="D46" s="15" t="n"/>
      <c r="E46" s="15" t="n"/>
      <c r="F46" s="15" t="n"/>
      <c r="G46" s="15" t="n"/>
      <c r="H46" s="15" t="n"/>
      <c r="I46" s="26" t="n"/>
      <c r="J46" s="15" t="n"/>
      <c r="K46" s="28" t="n"/>
      <c r="L46" s="15" t="n"/>
    </row>
    <row r="47" ht="22" customHeight="1">
      <c r="B47" s="18">
        <f>IF(C47="","PAD-"&amp;TEXT(COUNTA($C$5:C47),"000"))</f>
        <v/>
      </c>
      <c r="C47" s="12" t="n"/>
      <c r="D47" s="12" t="n"/>
      <c r="E47" s="12" t="n"/>
      <c r="F47" s="12" t="n"/>
      <c r="G47" s="12" t="n"/>
      <c r="H47" s="12" t="n"/>
      <c r="I47" s="24" t="n"/>
      <c r="J47" s="12" t="n"/>
      <c r="K47" s="27" t="n"/>
      <c r="L47" s="12" t="n"/>
    </row>
    <row r="48" ht="22" customHeight="1">
      <c r="B48" s="19">
        <f>IF(C48="","PAD-"&amp;TEXT(COUNTA($C$5:C48),"000"))</f>
        <v/>
      </c>
      <c r="C48" s="15" t="n"/>
      <c r="D48" s="15" t="n"/>
      <c r="E48" s="15" t="n"/>
      <c r="F48" s="15" t="n"/>
      <c r="G48" s="15" t="n"/>
      <c r="H48" s="15" t="n"/>
      <c r="I48" s="26" t="n"/>
      <c r="J48" s="15" t="n"/>
      <c r="K48" s="28" t="n"/>
      <c r="L48" s="15" t="n"/>
    </row>
    <row r="49" ht="22" customHeight="1">
      <c r="B49" s="18">
        <f>IF(C49="","PAD-"&amp;TEXT(COUNTA($C$5:C49),"000"))</f>
        <v/>
      </c>
      <c r="C49" s="12" t="n"/>
      <c r="D49" s="12" t="n"/>
      <c r="E49" s="12" t="n"/>
      <c r="F49" s="12" t="n"/>
      <c r="G49" s="12" t="n"/>
      <c r="H49" s="12" t="n"/>
      <c r="I49" s="24" t="n"/>
      <c r="J49" s="12" t="n"/>
      <c r="K49" s="27" t="n"/>
      <c r="L49" s="12" t="n"/>
    </row>
    <row r="50" ht="22" customHeight="1">
      <c r="B50" s="19">
        <f>IF(C50="","PAD-"&amp;TEXT(COUNTA($C$5:C50),"000"))</f>
        <v/>
      </c>
      <c r="C50" s="15" t="n"/>
      <c r="D50" s="15" t="n"/>
      <c r="E50" s="15" t="n"/>
      <c r="F50" s="15" t="n"/>
      <c r="G50" s="15" t="n"/>
      <c r="H50" s="15" t="n"/>
      <c r="I50" s="26" t="n"/>
      <c r="J50" s="15" t="n"/>
      <c r="K50" s="28" t="n"/>
      <c r="L50" s="15" t="n"/>
    </row>
    <row r="51" ht="22" customHeight="1">
      <c r="B51" s="18">
        <f>IF(C51="","PAD-"&amp;TEXT(COUNTA($C$5:C51),"000"))</f>
        <v/>
      </c>
      <c r="C51" s="12" t="n"/>
      <c r="D51" s="12" t="n"/>
      <c r="E51" s="12" t="n"/>
      <c r="F51" s="12" t="n"/>
      <c r="G51" s="12" t="n"/>
      <c r="H51" s="12" t="n"/>
      <c r="I51" s="24" t="n"/>
      <c r="J51" s="12" t="n"/>
      <c r="K51" s="27" t="n"/>
      <c r="L51" s="12" t="n"/>
    </row>
    <row r="52" ht="22" customHeight="1">
      <c r="B52" s="19">
        <f>IF(C52="","PAD-"&amp;TEXT(COUNTA($C$5:C52),"000"))</f>
        <v/>
      </c>
      <c r="C52" s="15" t="n"/>
      <c r="D52" s="15" t="n"/>
      <c r="E52" s="15" t="n"/>
      <c r="F52" s="15" t="n"/>
      <c r="G52" s="15" t="n"/>
      <c r="H52" s="15" t="n"/>
      <c r="I52" s="26" t="n"/>
      <c r="J52" s="15" t="n"/>
      <c r="K52" s="28" t="n"/>
      <c r="L52" s="15" t="n"/>
    </row>
    <row r="53" ht="22" customHeight="1">
      <c r="B53" s="18">
        <f>IF(C53="","PAD-"&amp;TEXT(COUNTA($C$5:C53),"000"))</f>
        <v/>
      </c>
      <c r="C53" s="12" t="n"/>
      <c r="D53" s="12" t="n"/>
      <c r="E53" s="12" t="n"/>
      <c r="F53" s="12" t="n"/>
      <c r="G53" s="12" t="n"/>
      <c r="H53" s="12" t="n"/>
      <c r="I53" s="24" t="n"/>
      <c r="J53" s="12" t="n"/>
      <c r="K53" s="27" t="n"/>
      <c r="L53" s="12" t="n"/>
    </row>
    <row r="54" ht="22" customHeight="1">
      <c r="B54" s="19">
        <f>IF(C54="","PAD-"&amp;TEXT(COUNTA($C$5:C54),"000"))</f>
        <v/>
      </c>
      <c r="C54" s="15" t="n"/>
      <c r="D54" s="15" t="n"/>
      <c r="E54" s="15" t="n"/>
      <c r="F54" s="15" t="n"/>
      <c r="G54" s="15" t="n"/>
      <c r="H54" s="15" t="n"/>
      <c r="I54" s="26" t="n"/>
      <c r="J54" s="15" t="n"/>
      <c r="K54" s="28" t="n"/>
      <c r="L54" s="15" t="n"/>
    </row>
    <row r="55" ht="22" customHeight="1">
      <c r="B55" s="18">
        <f>IF(C55="","PAD-"&amp;TEXT(COUNTA($C$5:C55),"000"))</f>
        <v/>
      </c>
      <c r="C55" s="12" t="n"/>
      <c r="D55" s="12" t="n"/>
      <c r="E55" s="12" t="n"/>
      <c r="F55" s="12" t="n"/>
      <c r="G55" s="12" t="n"/>
      <c r="H55" s="12" t="n"/>
      <c r="I55" s="24" t="n"/>
      <c r="J55" s="12" t="n"/>
      <c r="K55" s="27" t="n"/>
      <c r="L55" s="12" t="n"/>
    </row>
    <row r="56" ht="22" customHeight="1">
      <c r="B56" s="19">
        <f>IF(C56="","PAD-"&amp;TEXT(COUNTA($C$5:C56),"000"))</f>
        <v/>
      </c>
      <c r="C56" s="15" t="n"/>
      <c r="D56" s="15" t="n"/>
      <c r="E56" s="15" t="n"/>
      <c r="F56" s="15" t="n"/>
      <c r="G56" s="15" t="n"/>
      <c r="H56" s="15" t="n"/>
      <c r="I56" s="26" t="n"/>
      <c r="J56" s="15" t="n"/>
      <c r="K56" s="28" t="n"/>
      <c r="L56" s="15" t="n"/>
    </row>
    <row r="57" ht="22" customHeight="1">
      <c r="B57" s="18">
        <f>IF(C57="","PAD-"&amp;TEXT(COUNTA($C$5:C57),"000"))</f>
        <v/>
      </c>
      <c r="C57" s="12" t="n"/>
      <c r="D57" s="12" t="n"/>
      <c r="E57" s="12" t="n"/>
      <c r="F57" s="12" t="n"/>
      <c r="G57" s="12" t="n"/>
      <c r="H57" s="12" t="n"/>
      <c r="I57" s="24" t="n"/>
      <c r="J57" s="12" t="n"/>
      <c r="K57" s="27" t="n"/>
      <c r="L57" s="12" t="n"/>
    </row>
    <row r="58" ht="22" customHeight="1">
      <c r="B58" s="19">
        <f>IF(C58="","PAD-"&amp;TEXT(COUNTA($C$5:C58),"000"))</f>
        <v/>
      </c>
      <c r="C58" s="15" t="n"/>
      <c r="D58" s="15" t="n"/>
      <c r="E58" s="15" t="n"/>
      <c r="F58" s="15" t="n"/>
      <c r="G58" s="15" t="n"/>
      <c r="H58" s="15" t="n"/>
      <c r="I58" s="26" t="n"/>
      <c r="J58" s="15" t="n"/>
      <c r="K58" s="28" t="n"/>
      <c r="L58" s="15" t="n"/>
    </row>
    <row r="59" ht="22" customHeight="1">
      <c r="B59" s="18">
        <f>IF(C59="","PAD-"&amp;TEXT(COUNTA($C$5:C59),"000"))</f>
        <v/>
      </c>
      <c r="C59" s="12" t="n"/>
      <c r="D59" s="12" t="n"/>
      <c r="E59" s="12" t="n"/>
      <c r="F59" s="12" t="n"/>
      <c r="G59" s="12" t="n"/>
      <c r="H59" s="12" t="n"/>
      <c r="I59" s="24" t="n"/>
      <c r="J59" s="12" t="n"/>
      <c r="K59" s="27" t="n"/>
      <c r="L59" s="12" t="n"/>
    </row>
    <row r="60" ht="22" customHeight="1">
      <c r="B60" s="19">
        <f>IF(C60="","PAD-"&amp;TEXT(COUNTA($C$5:C60),"000"))</f>
        <v/>
      </c>
      <c r="C60" s="15" t="n"/>
      <c r="D60" s="15" t="n"/>
      <c r="E60" s="15" t="n"/>
      <c r="F60" s="15" t="n"/>
      <c r="G60" s="15" t="n"/>
      <c r="H60" s="15" t="n"/>
      <c r="I60" s="26" t="n"/>
      <c r="J60" s="15" t="n"/>
      <c r="K60" s="28" t="n"/>
      <c r="L60" s="15" t="n"/>
    </row>
    <row r="61" ht="22" customHeight="1">
      <c r="B61" s="18">
        <f>IF(C61="","PAD-"&amp;TEXT(COUNTA($C$5:C61),"000"))</f>
        <v/>
      </c>
      <c r="C61" s="12" t="n"/>
      <c r="D61" s="12" t="n"/>
      <c r="E61" s="12" t="n"/>
      <c r="F61" s="12" t="n"/>
      <c r="G61" s="12" t="n"/>
      <c r="H61" s="12" t="n"/>
      <c r="I61" s="24" t="n"/>
      <c r="J61" s="12" t="n"/>
      <c r="K61" s="27" t="n"/>
      <c r="L61" s="12" t="n"/>
    </row>
    <row r="62" ht="22" customHeight="1">
      <c r="B62" s="19">
        <f>IF(C62="","PAD-"&amp;TEXT(COUNTA($C$5:C62),"000"))</f>
        <v/>
      </c>
      <c r="C62" s="15" t="n"/>
      <c r="D62" s="15" t="n"/>
      <c r="E62" s="15" t="n"/>
      <c r="F62" s="15" t="n"/>
      <c r="G62" s="15" t="n"/>
      <c r="H62" s="15" t="n"/>
      <c r="I62" s="26" t="n"/>
      <c r="J62" s="15" t="n"/>
      <c r="K62" s="28" t="n"/>
      <c r="L62" s="15" t="n"/>
    </row>
    <row r="63" ht="22" customHeight="1">
      <c r="B63" s="18">
        <f>IF(C63="","PAD-"&amp;TEXT(COUNTA($C$5:C63),"000"))</f>
        <v/>
      </c>
      <c r="C63" s="12" t="n"/>
      <c r="D63" s="12" t="n"/>
      <c r="E63" s="12" t="n"/>
      <c r="F63" s="12" t="n"/>
      <c r="G63" s="12" t="n"/>
      <c r="H63" s="12" t="n"/>
      <c r="I63" s="24" t="n"/>
      <c r="J63" s="12" t="n"/>
      <c r="K63" s="27" t="n"/>
      <c r="L63" s="12" t="n"/>
    </row>
    <row r="64" ht="22" customHeight="1">
      <c r="B64" s="19">
        <f>IF(C64="","PAD-"&amp;TEXT(COUNTA($C$5:C64),"000"))</f>
        <v/>
      </c>
      <c r="C64" s="15" t="n"/>
      <c r="D64" s="15" t="n"/>
      <c r="E64" s="15" t="n"/>
      <c r="F64" s="15" t="n"/>
      <c r="G64" s="15" t="n"/>
      <c r="H64" s="15" t="n"/>
      <c r="I64" s="26" t="n"/>
      <c r="J64" s="15" t="n"/>
      <c r="K64" s="28" t="n"/>
      <c r="L64" s="15" t="n"/>
    </row>
    <row r="65" ht="22" customHeight="1">
      <c r="B65" s="18">
        <f>IF(C65="","PAD-"&amp;TEXT(COUNTA($C$5:C65),"000"))</f>
        <v/>
      </c>
      <c r="C65" s="12" t="n"/>
      <c r="D65" s="12" t="n"/>
      <c r="E65" s="12" t="n"/>
      <c r="F65" s="12" t="n"/>
      <c r="G65" s="12" t="n"/>
      <c r="H65" s="12" t="n"/>
      <c r="I65" s="24" t="n"/>
      <c r="J65" s="12" t="n"/>
      <c r="K65" s="27" t="n"/>
      <c r="L65" s="12" t="n"/>
    </row>
    <row r="66" ht="22" customHeight="1">
      <c r="B66" s="19">
        <f>IF(C66="","PAD-"&amp;TEXT(COUNTA($C$5:C66),"000"))</f>
        <v/>
      </c>
      <c r="C66" s="15" t="n"/>
      <c r="D66" s="15" t="n"/>
      <c r="E66" s="15" t="n"/>
      <c r="F66" s="15" t="n"/>
      <c r="G66" s="15" t="n"/>
      <c r="H66" s="15" t="n"/>
      <c r="I66" s="26" t="n"/>
      <c r="J66" s="15" t="n"/>
      <c r="K66" s="28" t="n"/>
      <c r="L66" s="15" t="n"/>
    </row>
    <row r="67" ht="22" customHeight="1">
      <c r="B67" s="18">
        <f>IF(C67="","PAD-"&amp;TEXT(COUNTA($C$5:C67),"000"))</f>
        <v/>
      </c>
      <c r="C67" s="12" t="n"/>
      <c r="D67" s="12" t="n"/>
      <c r="E67" s="12" t="n"/>
      <c r="F67" s="12" t="n"/>
      <c r="G67" s="12" t="n"/>
      <c r="H67" s="12" t="n"/>
      <c r="I67" s="24" t="n"/>
      <c r="J67" s="12" t="n"/>
      <c r="K67" s="27" t="n"/>
      <c r="L67" s="12" t="n"/>
    </row>
    <row r="68" ht="22" customHeight="1">
      <c r="B68" s="19">
        <f>IF(C68="","PAD-"&amp;TEXT(COUNTA($C$5:C68),"000"))</f>
        <v/>
      </c>
      <c r="C68" s="15" t="n"/>
      <c r="D68" s="15" t="n"/>
      <c r="E68" s="15" t="n"/>
      <c r="F68" s="15" t="n"/>
      <c r="G68" s="15" t="n"/>
      <c r="H68" s="15" t="n"/>
      <c r="I68" s="26" t="n"/>
      <c r="J68" s="15" t="n"/>
      <c r="K68" s="28" t="n"/>
      <c r="L68" s="15" t="n"/>
    </row>
    <row r="69" ht="22" customHeight="1">
      <c r="B69" s="18">
        <f>IF(C69="","PAD-"&amp;TEXT(COUNTA($C$5:C69),"000"))</f>
        <v/>
      </c>
      <c r="C69" s="12" t="n"/>
      <c r="D69" s="12" t="n"/>
      <c r="E69" s="12" t="n"/>
      <c r="F69" s="12" t="n"/>
      <c r="G69" s="12" t="n"/>
      <c r="H69" s="12" t="n"/>
      <c r="I69" s="24" t="n"/>
      <c r="J69" s="12" t="n"/>
      <c r="K69" s="27" t="n"/>
      <c r="L69" s="12" t="n"/>
    </row>
    <row r="70" ht="22" customHeight="1">
      <c r="B70" s="19">
        <f>IF(C70="","PAD-"&amp;TEXT(COUNTA($C$5:C70),"000"))</f>
        <v/>
      </c>
      <c r="C70" s="15" t="n"/>
      <c r="D70" s="15" t="n"/>
      <c r="E70" s="15" t="n"/>
      <c r="F70" s="15" t="n"/>
      <c r="G70" s="15" t="n"/>
      <c r="H70" s="15" t="n"/>
      <c r="I70" s="26" t="n"/>
      <c r="J70" s="15" t="n"/>
      <c r="K70" s="28" t="n"/>
      <c r="L70" s="15" t="n"/>
    </row>
    <row r="71" ht="22" customHeight="1">
      <c r="B71" s="18">
        <f>IF(C71="","PAD-"&amp;TEXT(COUNTA($C$5:C71),"000"))</f>
        <v/>
      </c>
      <c r="C71" s="12" t="n"/>
      <c r="D71" s="12" t="n"/>
      <c r="E71" s="12" t="n"/>
      <c r="F71" s="12" t="n"/>
      <c r="G71" s="12" t="n"/>
      <c r="H71" s="12" t="n"/>
      <c r="I71" s="24" t="n"/>
      <c r="J71" s="12" t="n"/>
      <c r="K71" s="27" t="n"/>
      <c r="L71" s="12" t="n"/>
    </row>
    <row r="72" ht="22" customHeight="1">
      <c r="B72" s="19">
        <f>IF(C72="","PAD-"&amp;TEXT(COUNTA($C$5:C72),"000"))</f>
        <v/>
      </c>
      <c r="C72" s="15" t="n"/>
      <c r="D72" s="15" t="n"/>
      <c r="E72" s="15" t="n"/>
      <c r="F72" s="15" t="n"/>
      <c r="G72" s="15" t="n"/>
      <c r="H72" s="15" t="n"/>
      <c r="I72" s="26" t="n"/>
      <c r="J72" s="15" t="n"/>
      <c r="K72" s="28" t="n"/>
      <c r="L72" s="15" t="n"/>
    </row>
    <row r="73" ht="22" customHeight="1">
      <c r="B73" s="18">
        <f>IF(C73="","PAD-"&amp;TEXT(COUNTA($C$5:C73),"000"))</f>
        <v/>
      </c>
      <c r="C73" s="12" t="n"/>
      <c r="D73" s="12" t="n"/>
      <c r="E73" s="12" t="n"/>
      <c r="F73" s="12" t="n"/>
      <c r="G73" s="12" t="n"/>
      <c r="H73" s="12" t="n"/>
      <c r="I73" s="24" t="n"/>
      <c r="J73" s="12" t="n"/>
      <c r="K73" s="27" t="n"/>
      <c r="L73" s="12" t="n"/>
    </row>
    <row r="74" ht="22" customHeight="1">
      <c r="B74" s="19">
        <f>IF(C74="","PAD-"&amp;TEXT(COUNTA($C$5:C74),"000"))</f>
        <v/>
      </c>
      <c r="C74" s="15" t="n"/>
      <c r="D74" s="15" t="n"/>
      <c r="E74" s="15" t="n"/>
      <c r="F74" s="15" t="n"/>
      <c r="G74" s="15" t="n"/>
      <c r="H74" s="15" t="n"/>
      <c r="I74" s="26" t="n"/>
      <c r="J74" s="15" t="n"/>
      <c r="K74" s="28" t="n"/>
      <c r="L74" s="15" t="n"/>
    </row>
    <row r="75" ht="22" customHeight="1">
      <c r="B75" s="18">
        <f>IF(C75="","PAD-"&amp;TEXT(COUNTA($C$5:C75),"000"))</f>
        <v/>
      </c>
      <c r="C75" s="12" t="n"/>
      <c r="D75" s="12" t="n"/>
      <c r="E75" s="12" t="n"/>
      <c r="F75" s="12" t="n"/>
      <c r="G75" s="12" t="n"/>
      <c r="H75" s="12" t="n"/>
      <c r="I75" s="24" t="n"/>
      <c r="J75" s="12" t="n"/>
      <c r="K75" s="27" t="n"/>
      <c r="L75" s="12" t="n"/>
    </row>
    <row r="76" ht="22" customHeight="1">
      <c r="B76" s="19">
        <f>IF(C76="","PAD-"&amp;TEXT(COUNTA($C$5:C76),"000"))</f>
        <v/>
      </c>
      <c r="C76" s="15" t="n"/>
      <c r="D76" s="15" t="n"/>
      <c r="E76" s="15" t="n"/>
      <c r="F76" s="15" t="n"/>
      <c r="G76" s="15" t="n"/>
      <c r="H76" s="15" t="n"/>
      <c r="I76" s="26" t="n"/>
      <c r="J76" s="15" t="n"/>
      <c r="K76" s="28" t="n"/>
      <c r="L76" s="15" t="n"/>
    </row>
    <row r="77" ht="22" customHeight="1">
      <c r="B77" s="18">
        <f>IF(C77="","PAD-"&amp;TEXT(COUNTA($C$5:C77),"000"))</f>
        <v/>
      </c>
      <c r="C77" s="12" t="n"/>
      <c r="D77" s="12" t="n"/>
      <c r="E77" s="12" t="n"/>
      <c r="F77" s="12" t="n"/>
      <c r="G77" s="12" t="n"/>
      <c r="H77" s="12" t="n"/>
      <c r="I77" s="24" t="n"/>
      <c r="J77" s="12" t="n"/>
      <c r="K77" s="27" t="n"/>
      <c r="L77" s="12" t="n"/>
    </row>
    <row r="78" ht="22" customHeight="1">
      <c r="B78" s="19">
        <f>IF(C78="","PAD-"&amp;TEXT(COUNTA($C$5:C78),"000"))</f>
        <v/>
      </c>
      <c r="C78" s="15" t="n"/>
      <c r="D78" s="15" t="n"/>
      <c r="E78" s="15" t="n"/>
      <c r="F78" s="15" t="n"/>
      <c r="G78" s="15" t="n"/>
      <c r="H78" s="15" t="n"/>
      <c r="I78" s="26" t="n"/>
      <c r="J78" s="15" t="n"/>
      <c r="K78" s="28" t="n"/>
      <c r="L78" s="15" t="n"/>
    </row>
    <row r="79" ht="22" customHeight="1">
      <c r="B79" s="18">
        <f>IF(C79="","PAD-"&amp;TEXT(COUNTA($C$5:C79),"000"))</f>
        <v/>
      </c>
      <c r="C79" s="12" t="n"/>
      <c r="D79" s="12" t="n"/>
      <c r="E79" s="12" t="n"/>
      <c r="F79" s="12" t="n"/>
      <c r="G79" s="12" t="n"/>
      <c r="H79" s="12" t="n"/>
      <c r="I79" s="24" t="n"/>
      <c r="J79" s="12" t="n"/>
      <c r="K79" s="27" t="n"/>
      <c r="L79" s="12" t="n"/>
    </row>
    <row r="80" ht="22" customHeight="1">
      <c r="B80" s="19">
        <f>IF(C80="","PAD-"&amp;TEXT(COUNTA($C$5:C80),"000"))</f>
        <v/>
      </c>
      <c r="C80" s="15" t="n"/>
      <c r="D80" s="15" t="n"/>
      <c r="E80" s="15" t="n"/>
      <c r="F80" s="15" t="n"/>
      <c r="G80" s="15" t="n"/>
      <c r="H80" s="15" t="n"/>
      <c r="I80" s="26" t="n"/>
      <c r="J80" s="15" t="n"/>
      <c r="K80" s="28" t="n"/>
      <c r="L80" s="15" t="n"/>
    </row>
    <row r="81" ht="22" customHeight="1">
      <c r="B81" s="18">
        <f>IF(C81="","PAD-"&amp;TEXT(COUNTA($C$5:C81),"000"))</f>
        <v/>
      </c>
      <c r="C81" s="12" t="n"/>
      <c r="D81" s="12" t="n"/>
      <c r="E81" s="12" t="n"/>
      <c r="F81" s="12" t="n"/>
      <c r="G81" s="12" t="n"/>
      <c r="H81" s="12" t="n"/>
      <c r="I81" s="24" t="n"/>
      <c r="J81" s="12" t="n"/>
      <c r="K81" s="27" t="n"/>
      <c r="L81" s="12" t="n"/>
    </row>
    <row r="82" ht="22" customHeight="1">
      <c r="B82" s="19">
        <f>IF(C82="","PAD-"&amp;TEXT(COUNTA($C$5:C82),"000"))</f>
        <v/>
      </c>
      <c r="C82" s="15" t="n"/>
      <c r="D82" s="15" t="n"/>
      <c r="E82" s="15" t="n"/>
      <c r="F82" s="15" t="n"/>
      <c r="G82" s="15" t="n"/>
      <c r="H82" s="15" t="n"/>
      <c r="I82" s="26" t="n"/>
      <c r="J82" s="15" t="n"/>
      <c r="K82" s="28" t="n"/>
      <c r="L82" s="15" t="n"/>
    </row>
    <row r="83" ht="22" customHeight="1">
      <c r="B83" s="18">
        <f>IF(C83="","PAD-"&amp;TEXT(COUNTA($C$5:C83),"000"))</f>
        <v/>
      </c>
      <c r="C83" s="12" t="n"/>
      <c r="D83" s="12" t="n"/>
      <c r="E83" s="12" t="n"/>
      <c r="F83" s="12" t="n"/>
      <c r="G83" s="12" t="n"/>
      <c r="H83" s="12" t="n"/>
      <c r="I83" s="24" t="n"/>
      <c r="J83" s="12" t="n"/>
      <c r="K83" s="27" t="n"/>
      <c r="L83" s="12" t="n"/>
    </row>
    <row r="84" ht="22" customHeight="1">
      <c r="B84" s="19">
        <f>IF(C84="","PAD-"&amp;TEXT(COUNTA($C$5:C84),"000"))</f>
        <v/>
      </c>
      <c r="C84" s="15" t="n"/>
      <c r="D84" s="15" t="n"/>
      <c r="E84" s="15" t="n"/>
      <c r="F84" s="15" t="n"/>
      <c r="G84" s="15" t="n"/>
      <c r="H84" s="15" t="n"/>
      <c r="I84" s="26" t="n"/>
      <c r="J84" s="15" t="n"/>
      <c r="K84" s="28" t="n"/>
      <c r="L84" s="15" t="n"/>
    </row>
    <row r="85" ht="22" customHeight="1">
      <c r="B85" s="18">
        <f>IF(C85="","PAD-"&amp;TEXT(COUNTA($C$5:C85),"000"))</f>
        <v/>
      </c>
      <c r="C85" s="12" t="n"/>
      <c r="D85" s="12" t="n"/>
      <c r="E85" s="12" t="n"/>
      <c r="F85" s="12" t="n"/>
      <c r="G85" s="12" t="n"/>
      <c r="H85" s="12" t="n"/>
      <c r="I85" s="24" t="n"/>
      <c r="J85" s="12" t="n"/>
      <c r="K85" s="27" t="n"/>
      <c r="L85" s="12" t="n"/>
    </row>
    <row r="86" ht="22" customHeight="1">
      <c r="B86" s="19">
        <f>IF(C86="","PAD-"&amp;TEXT(COUNTA($C$5:C86),"000"))</f>
        <v/>
      </c>
      <c r="C86" s="15" t="n"/>
      <c r="D86" s="15" t="n"/>
      <c r="E86" s="15" t="n"/>
      <c r="F86" s="15" t="n"/>
      <c r="G86" s="15" t="n"/>
      <c r="H86" s="15" t="n"/>
      <c r="I86" s="26" t="n"/>
      <c r="J86" s="15" t="n"/>
      <c r="K86" s="28" t="n"/>
      <c r="L86" s="15" t="n"/>
    </row>
    <row r="87" ht="22" customHeight="1">
      <c r="B87" s="18">
        <f>IF(C87="","PAD-"&amp;TEXT(COUNTA($C$5:C87),"000"))</f>
        <v/>
      </c>
      <c r="C87" s="12" t="n"/>
      <c r="D87" s="12" t="n"/>
      <c r="E87" s="12" t="n"/>
      <c r="F87" s="12" t="n"/>
      <c r="G87" s="12" t="n"/>
      <c r="H87" s="12" t="n"/>
      <c r="I87" s="24" t="n"/>
      <c r="J87" s="12" t="n"/>
      <c r="K87" s="27" t="n"/>
      <c r="L87" s="12" t="n"/>
    </row>
    <row r="88" ht="22" customHeight="1">
      <c r="B88" s="19">
        <f>IF(C88="","PAD-"&amp;TEXT(COUNTA($C$5:C88),"000"))</f>
        <v/>
      </c>
      <c r="C88" s="15" t="n"/>
      <c r="D88" s="15" t="n"/>
      <c r="E88" s="15" t="n"/>
      <c r="F88" s="15" t="n"/>
      <c r="G88" s="15" t="n"/>
      <c r="H88" s="15" t="n"/>
      <c r="I88" s="26" t="n"/>
      <c r="J88" s="15" t="n"/>
      <c r="K88" s="28" t="n"/>
      <c r="L88" s="15" t="n"/>
    </row>
    <row r="89" ht="22" customHeight="1">
      <c r="B89" s="18">
        <f>IF(C89="","PAD-"&amp;TEXT(COUNTA($C$5:C89),"000"))</f>
        <v/>
      </c>
      <c r="C89" s="12" t="n"/>
      <c r="D89" s="12" t="n"/>
      <c r="E89" s="12" t="n"/>
      <c r="F89" s="12" t="n"/>
      <c r="G89" s="12" t="n"/>
      <c r="H89" s="12" t="n"/>
      <c r="I89" s="24" t="n"/>
      <c r="J89" s="12" t="n"/>
      <c r="K89" s="27" t="n"/>
      <c r="L89" s="12" t="n"/>
    </row>
    <row r="90" ht="22" customHeight="1">
      <c r="B90" s="19">
        <f>IF(C90="","PAD-"&amp;TEXT(COUNTA($C$5:C90),"000"))</f>
        <v/>
      </c>
      <c r="C90" s="15" t="n"/>
      <c r="D90" s="15" t="n"/>
      <c r="E90" s="15" t="n"/>
      <c r="F90" s="15" t="n"/>
      <c r="G90" s="15" t="n"/>
      <c r="H90" s="15" t="n"/>
      <c r="I90" s="26" t="n"/>
      <c r="J90" s="15" t="n"/>
      <c r="K90" s="28" t="n"/>
      <c r="L90" s="15" t="n"/>
    </row>
    <row r="91" ht="22" customHeight="1">
      <c r="B91" s="18">
        <f>IF(C91="","PAD-"&amp;TEXT(COUNTA($C$5:C91),"000"))</f>
        <v/>
      </c>
      <c r="C91" s="12" t="n"/>
      <c r="D91" s="12" t="n"/>
      <c r="E91" s="12" t="n"/>
      <c r="F91" s="12" t="n"/>
      <c r="G91" s="12" t="n"/>
      <c r="H91" s="12" t="n"/>
      <c r="I91" s="24" t="n"/>
      <c r="J91" s="12" t="n"/>
      <c r="K91" s="27" t="n"/>
      <c r="L91" s="12" t="n"/>
    </row>
    <row r="92" ht="22" customHeight="1">
      <c r="B92" s="19">
        <f>IF(C92="","PAD-"&amp;TEXT(COUNTA($C$5:C92),"000"))</f>
        <v/>
      </c>
      <c r="C92" s="15" t="n"/>
      <c r="D92" s="15" t="n"/>
      <c r="E92" s="15" t="n"/>
      <c r="F92" s="15" t="n"/>
      <c r="G92" s="15" t="n"/>
      <c r="H92" s="15" t="n"/>
      <c r="I92" s="26" t="n"/>
      <c r="J92" s="15" t="n"/>
      <c r="K92" s="28" t="n"/>
      <c r="L92" s="15" t="n"/>
    </row>
    <row r="93" ht="22" customHeight="1">
      <c r="B93" s="18">
        <f>IF(C93="","PAD-"&amp;TEXT(COUNTA($C$5:C93),"000"))</f>
        <v/>
      </c>
      <c r="C93" s="12" t="n"/>
      <c r="D93" s="12" t="n"/>
      <c r="E93" s="12" t="n"/>
      <c r="F93" s="12" t="n"/>
      <c r="G93" s="12" t="n"/>
      <c r="H93" s="12" t="n"/>
      <c r="I93" s="24" t="n"/>
      <c r="J93" s="12" t="n"/>
      <c r="K93" s="27" t="n"/>
      <c r="L93" s="12" t="n"/>
    </row>
    <row r="94" ht="22" customHeight="1">
      <c r="B94" s="19">
        <f>IF(C94="","PAD-"&amp;TEXT(COUNTA($C$5:C94),"000"))</f>
        <v/>
      </c>
      <c r="C94" s="15" t="n"/>
      <c r="D94" s="15" t="n"/>
      <c r="E94" s="15" t="n"/>
      <c r="F94" s="15" t="n"/>
      <c r="G94" s="15" t="n"/>
      <c r="H94" s="15" t="n"/>
      <c r="I94" s="26" t="n"/>
      <c r="J94" s="15" t="n"/>
      <c r="K94" s="28" t="n"/>
      <c r="L94" s="15" t="n"/>
    </row>
    <row r="95" ht="22" customHeight="1">
      <c r="B95" s="18">
        <f>IF(C95="","PAD-"&amp;TEXT(COUNTA($C$5:C95),"000"))</f>
        <v/>
      </c>
      <c r="C95" s="12" t="n"/>
      <c r="D95" s="12" t="n"/>
      <c r="E95" s="12" t="n"/>
      <c r="F95" s="12" t="n"/>
      <c r="G95" s="12" t="n"/>
      <c r="H95" s="12" t="n"/>
      <c r="I95" s="24" t="n"/>
      <c r="J95" s="12" t="n"/>
      <c r="K95" s="27" t="n"/>
      <c r="L95" s="12" t="n"/>
    </row>
    <row r="96" ht="22" customHeight="1">
      <c r="B96" s="19">
        <f>IF(C96="","PAD-"&amp;TEXT(COUNTA($C$5:C96),"000"))</f>
        <v/>
      </c>
      <c r="C96" s="15" t="n"/>
      <c r="D96" s="15" t="n"/>
      <c r="E96" s="15" t="n"/>
      <c r="F96" s="15" t="n"/>
      <c r="G96" s="15" t="n"/>
      <c r="H96" s="15" t="n"/>
      <c r="I96" s="26" t="n"/>
      <c r="J96" s="15" t="n"/>
      <c r="K96" s="28" t="n"/>
      <c r="L96" s="15" t="n"/>
    </row>
    <row r="97" ht="22" customHeight="1">
      <c r="B97" s="18">
        <f>IF(C97="","PAD-"&amp;TEXT(COUNTA($C$5:C97),"000"))</f>
        <v/>
      </c>
      <c r="C97" s="12" t="n"/>
      <c r="D97" s="12" t="n"/>
      <c r="E97" s="12" t="n"/>
      <c r="F97" s="12" t="n"/>
      <c r="G97" s="12" t="n"/>
      <c r="H97" s="12" t="n"/>
      <c r="I97" s="24" t="n"/>
      <c r="J97" s="12" t="n"/>
      <c r="K97" s="27" t="n"/>
      <c r="L97" s="12" t="n"/>
    </row>
    <row r="98" ht="22" customHeight="1">
      <c r="B98" s="19">
        <f>IF(C98="","PAD-"&amp;TEXT(COUNTA($C$5:C98),"000"))</f>
        <v/>
      </c>
      <c r="C98" s="15" t="n"/>
      <c r="D98" s="15" t="n"/>
      <c r="E98" s="15" t="n"/>
      <c r="F98" s="15" t="n"/>
      <c r="G98" s="15" t="n"/>
      <c r="H98" s="15" t="n"/>
      <c r="I98" s="26" t="n"/>
      <c r="J98" s="15" t="n"/>
      <c r="K98" s="28" t="n"/>
      <c r="L98" s="15" t="n"/>
    </row>
    <row r="99" ht="22" customHeight="1">
      <c r="B99" s="18">
        <f>IF(C99="","PAD-"&amp;TEXT(COUNTA($C$5:C99),"000"))</f>
        <v/>
      </c>
      <c r="C99" s="12" t="n"/>
      <c r="D99" s="12" t="n"/>
      <c r="E99" s="12" t="n"/>
      <c r="F99" s="12" t="n"/>
      <c r="G99" s="12" t="n"/>
      <c r="H99" s="12" t="n"/>
      <c r="I99" s="24" t="n"/>
      <c r="J99" s="12" t="n"/>
      <c r="K99" s="27" t="n"/>
      <c r="L99" s="12" t="n"/>
    </row>
    <row r="100" ht="22" customHeight="1">
      <c r="B100" s="19">
        <f>IF(C100="","PAD-"&amp;TEXT(COUNTA($C$5:C100),"000"))</f>
        <v/>
      </c>
      <c r="C100" s="15" t="n"/>
      <c r="D100" s="15" t="n"/>
      <c r="E100" s="15" t="n"/>
      <c r="F100" s="15" t="n"/>
      <c r="G100" s="15" t="n"/>
      <c r="H100" s="15" t="n"/>
      <c r="I100" s="26" t="n"/>
      <c r="J100" s="15" t="n"/>
      <c r="K100" s="28" t="n"/>
      <c r="L100" s="15" t="n"/>
    </row>
    <row r="101" ht="22" customHeight="1">
      <c r="B101" s="18">
        <f>IF(C101="","PAD-"&amp;TEXT(COUNTA($C$5:C101),"000"))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24" t="n"/>
      <c r="J101" s="12" t="n"/>
      <c r="K101" s="27" t="n"/>
      <c r="L101" s="12" t="n"/>
    </row>
    <row r="102" ht="22" customHeight="1">
      <c r="B102" s="19">
        <f>IF(C102="","PAD-"&amp;TEXT(COUNTA($C$5:C102),"000"))</f>
        <v/>
      </c>
      <c r="C102" s="15" t="n"/>
      <c r="D102" s="15" t="n"/>
      <c r="E102" s="15" t="n"/>
      <c r="F102" s="15" t="n"/>
      <c r="G102" s="15" t="n"/>
      <c r="H102" s="15" t="n"/>
      <c r="I102" s="26" t="n"/>
      <c r="J102" s="15" t="n"/>
      <c r="K102" s="28" t="n"/>
      <c r="L102" s="15" t="n"/>
    </row>
    <row r="103" ht="22" customHeight="1">
      <c r="B103" s="18">
        <f>IF(C103="","PAD-"&amp;TEXT(COUNTA($C$5:C103),"000"))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24" t="n"/>
      <c r="J103" s="12" t="n"/>
      <c r="K103" s="27" t="n"/>
      <c r="L103" s="12" t="n"/>
    </row>
    <row r="104" ht="22" customHeight="1">
      <c r="B104" s="19">
        <f>IF(C104="","PAD-"&amp;TEXT(COUNTA($C$5:C104),"000"))</f>
        <v/>
      </c>
      <c r="C104" s="15" t="n"/>
      <c r="D104" s="15" t="n"/>
      <c r="E104" s="15" t="n"/>
      <c r="F104" s="15" t="n"/>
      <c r="G104" s="15" t="n"/>
      <c r="H104" s="15" t="n"/>
      <c r="I104" s="26" t="n"/>
      <c r="J104" s="15" t="n"/>
      <c r="K104" s="28" t="n"/>
      <c r="L104" s="15" t="n"/>
    </row>
    <row r="105" ht="22" customHeight="1">
      <c r="B105" s="18">
        <f>IF(C105="","PAD-"&amp;TEXT(COUNTA($C$5:C105),"000"))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24" t="n"/>
      <c r="J105" s="12" t="n"/>
      <c r="K105" s="27" t="n"/>
      <c r="L105" s="12" t="n"/>
    </row>
    <row r="106" ht="22" customHeight="1">
      <c r="B106" s="19">
        <f>IF(C106="","PAD-"&amp;TEXT(COUNTA($C$5:C106),"000"))</f>
        <v/>
      </c>
      <c r="C106" s="15" t="n"/>
      <c r="D106" s="15" t="n"/>
      <c r="E106" s="15" t="n"/>
      <c r="F106" s="15" t="n"/>
      <c r="G106" s="15" t="n"/>
      <c r="H106" s="15" t="n"/>
      <c r="I106" s="26" t="n"/>
      <c r="J106" s="15" t="n"/>
      <c r="K106" s="28" t="n"/>
      <c r="L106" s="15" t="n"/>
    </row>
    <row r="107" ht="22" customHeight="1">
      <c r="B107" s="18">
        <f>IF(C107="","PAD-"&amp;TEXT(COUNTA($C$5:C107),"000"))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24" t="n"/>
      <c r="J107" s="12" t="n"/>
      <c r="K107" s="27" t="n"/>
      <c r="L107" s="12" t="n"/>
    </row>
    <row r="108" ht="22" customHeight="1">
      <c r="B108" s="19">
        <f>IF(C108="","PAD-"&amp;TEXT(COUNTA($C$5:C108),"000"))</f>
        <v/>
      </c>
      <c r="C108" s="15" t="n"/>
      <c r="D108" s="15" t="n"/>
      <c r="E108" s="15" t="n"/>
      <c r="F108" s="15" t="n"/>
      <c r="G108" s="15" t="n"/>
      <c r="H108" s="15" t="n"/>
      <c r="I108" s="26" t="n"/>
      <c r="J108" s="15" t="n"/>
      <c r="K108" s="28" t="n"/>
      <c r="L108" s="15" t="n"/>
    </row>
    <row r="109" ht="22" customHeight="1">
      <c r="B109" s="18">
        <f>IF(C109="","PAD-"&amp;TEXT(COUNTA($C$5:C109),"000"))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24" t="n"/>
      <c r="J109" s="12" t="n"/>
      <c r="K109" s="27" t="n"/>
      <c r="L109" s="12" t="n"/>
    </row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1" t="n"/>
      <c r="H111" s="21" t="n"/>
      <c r="I111" s="22">
        <f>SUM(I5:I104)</f>
        <v/>
      </c>
      <c r="J111" s="21" t="n"/>
      <c r="K111" s="21" t="n"/>
      <c r="L111" s="21" t="n"/>
    </row>
    <row r="113">
      <c r="B113" s="6" t="inlineStr">
        <is>
          <t>INDICATEURS (mis a jour automatiquement)</t>
        </is>
      </c>
    </row>
    <row r="114">
      <c r="B114" s="3" t="inlineStr">
        <is>
          <t>Actions planifiees</t>
        </is>
      </c>
      <c r="D114" s="3" t="inlineStr">
        <is>
          <t>Budget total</t>
        </is>
      </c>
      <c r="F114" s="3" t="inlineStr">
        <is>
          <t>En cours</t>
        </is>
      </c>
      <c r="H114" s="3" t="inlineStr">
        <is>
          <t>Planifiees</t>
        </is>
      </c>
    </row>
    <row r="115">
      <c r="B115" s="5">
        <f>COUNTIF(B5:B104,"&lt;&gt;")</f>
        <v/>
      </c>
      <c r="D115" s="5">
        <f>SUM(I5:I104)</f>
        <v/>
      </c>
      <c r="F115" s="5">
        <f>COUNTIF(L5:L104,"En cours")</f>
        <v/>
      </c>
      <c r="H115" s="5">
        <f>COUNTIF(L5:L104,"Planifiee")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"Conforme"</formula>
    </cfRule>
    <cfRule type="cellIs" priority="15" operator="equal" dxfId="1">
      <formula>"En poste"</formula>
    </cfRule>
    <cfRule type="cellIs" priority="16" operator="equal" dxfId="1">
      <formula>"Objectif atteint"</formula>
    </cfRule>
    <cfRule type="cellIs" priority="17" operator="equal" dxfId="1">
      <formula>"Realise"</formula>
    </cfRule>
    <cfRule type="cellIs" priority="18" operator="equal" dxfId="1">
      <formula>"Realisee"</formula>
    </cfRule>
    <cfRule type="cellIs" priority="19" operator="equal" dxfId="1">
      <formula>"Formation en cours"</formula>
    </cfRule>
    <cfRule type="cellIs" priority="20" operator="equal" dxfId="2">
      <formula>"En attente"</formula>
    </cfRule>
    <cfRule type="cellIs" priority="21" operator="equal" dxfId="2">
      <formula>"A renouveler"</formula>
    </cfRule>
    <cfRule type="cellIs" priority="22" operator="equal" dxfId="2">
      <formula>"En cours"</formula>
    </cfRule>
    <cfRule type="cellIs" priority="23" operator="equal" dxfId="2">
      <formula>"En traitement"</formula>
    </cfRule>
    <cfRule type="cellIs" priority="24" operator="equal" dxfId="2">
      <formula>"En retard"</formula>
    </cfRule>
    <cfRule type="cellIs" priority="25" operator="equal" dxfId="2">
      <formula>"Suspendu"</formula>
    </cfRule>
    <cfRule type="cellIs" priority="26" operator="equal" dxfId="2">
      <formula>"Planifie"</formula>
    </cfRule>
    <cfRule type="cellIs" priority="27" operator="equal" dxfId="2">
      <formula>"Planifiee"</formula>
    </cfRule>
    <cfRule type="cellIs" priority="28" operator="equal" dxfId="2">
      <formula>"Brouillon"</formula>
    </cfRule>
    <cfRule type="cellIs" priority="29" operator="equal" dxfId="2">
      <formula>"En attente de donnees"</formula>
    </cfRule>
    <cfRule type="cellIs" priority="30" operator="equal" dxfId="2">
      <formula>"En cours d'amelioration"</formula>
    </cfRule>
    <cfRule type="cellIs" priority="31" operator="equal" dxfId="2">
      <formula>"En cours de recrutement"</formula>
    </cfRule>
    <cfRule type="cellIs" priority="32" operator="equal" dxfId="2">
      <formula>"Entretien realise"</formula>
    </cfRule>
    <cfRule type="cellIs" priority="33" operator="equal" dxfId="2">
      <formula>"Candidature en attente"</formula>
    </cfRule>
    <cfRule type="cellIs" priority="34" operator="equal" dxfId="2">
      <formula>"En attente validation"</formula>
    </cfRule>
    <cfRule type="cellIs" priority="35" operator="equal" dxfId="3">
      <formula>"Expire"</formula>
    </cfRule>
    <cfRule type="cellIs" priority="36" operator="equal" dxfId="3">
      <formula>"Rejete"</formula>
    </cfRule>
    <cfRule type="cellIs" priority="37" operator="equal" dxfId="3">
      <formula>"Rejetee"</formula>
    </cfRule>
    <cfRule type="cellIs" priority="38" operator="equal" dxfId="3">
      <formula>"Resilie"</formula>
    </cfRule>
    <cfRule type="cellIs" priority="39" operator="equal" dxfId="3">
      <formula>"Annule"</formula>
    </cfRule>
    <cfRule type="cellIs" priority="40" operator="equal" dxfId="3">
      <formula>"Annulee"</formula>
    </cfRule>
    <cfRule type="cellIs" priority="41" operator="equal" dxfId="3">
      <formula>"Refuse"</formula>
    </cfRule>
    <cfRule type="cellIs" priority="42" operator="equal" dxfId="3">
      <formula>"Non conforme"</formula>
    </cfRule>
    <cfRule type="cellIs" priority="43" operator="equal" dxfId="3">
      <formula>"Non retenu"</formula>
    </cfRule>
    <cfRule type="cellIs" priority="44" operator="equal" dxfId="3">
      <formula>"Non applicable"</formula>
    </cfRule>
  </conditionalFormatting>
  <conditionalFormatting sqref="B10:B109">
    <cfRule type="expression" priority="45" dxfId="0">
      <formula>AND($C10="",$C9&lt;&gt;"")</formula>
    </cfRule>
  </conditionalFormatting>
  <conditionalFormatting sqref="C10:C109">
    <cfRule type="expression" priority="46" dxfId="0">
      <formula>AND($C10="",$C9&lt;&gt;"")</formula>
    </cfRule>
  </conditionalFormatting>
  <conditionalFormatting sqref="D10:D109">
    <cfRule type="expression" priority="47" dxfId="0">
      <formula>AND($C10="",$C9&lt;&gt;"")</formula>
    </cfRule>
  </conditionalFormatting>
  <conditionalFormatting sqref="E10:E109">
    <cfRule type="expression" priority="48" dxfId="0">
      <formula>AND($C10="",$C9&lt;&gt;"")</formula>
    </cfRule>
  </conditionalFormatting>
  <conditionalFormatting sqref="F10:F109">
    <cfRule type="expression" priority="49" dxfId="0">
      <formula>AND($C10="",$C9&lt;&gt;"")</formula>
    </cfRule>
  </conditionalFormatting>
  <conditionalFormatting sqref="G10:G109">
    <cfRule type="expression" priority="50" dxfId="0">
      <formula>AND($C10="",$C9&lt;&gt;"")</formula>
    </cfRule>
  </conditionalFormatting>
  <conditionalFormatting sqref="H10:H109">
    <cfRule type="expression" priority="51" dxfId="0">
      <formula>AND($C10="",$C9&lt;&gt;"")</formula>
    </cfRule>
  </conditionalFormatting>
  <conditionalFormatting sqref="I10:I109">
    <cfRule type="expression" priority="52" dxfId="0">
      <formula>AND($C10="",$C9&lt;&gt;"")</formula>
    </cfRule>
  </conditionalFormatting>
  <conditionalFormatting sqref="J10:J109">
    <cfRule type="expression" priority="53" dxfId="0">
      <formula>AND($C10="",$C9&lt;&gt;"")</formula>
    </cfRule>
  </conditionalFormatting>
  <conditionalFormatting sqref="K10:K109">
    <cfRule type="expression" priority="54" dxfId="0">
      <formula>AND($C10="",$C9&lt;&gt;"")</formula>
    </cfRule>
  </conditionalFormatting>
  <conditionalFormatting sqref="L10:L109">
    <cfRule type="expression" priority="55" dxfId="0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2026-07-07T08:59:21Z</dcterms:created>
  <dcterms:modified xmlns:dcterms="http://purl.org/dc/terms/" xmlns:xsi="http://www.w3.org/2001/XMLSchema-instance" xsi:type="dcterms:W3CDTF">2026-07-09T18:30:07Z</dcterms:modified>
</cp:coreProperties>
</file>